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minimized="1" xWindow="0" yWindow="0" windowWidth="22260" windowHeight="12645"/>
  </bookViews>
  <sheets>
    <sheet name="29.09.2026" sheetId="10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" i="10" l="1"/>
  <c r="L10" i="10"/>
  <c r="L9" i="10"/>
  <c r="L8" i="10"/>
  <c r="L7" i="10"/>
  <c r="L6" i="10"/>
  <c r="K11" i="10"/>
  <c r="K10" i="10"/>
  <c r="K9" i="10"/>
  <c r="K8" i="10"/>
  <c r="K7" i="10"/>
  <c r="K6" i="10"/>
  <c r="J11" i="10"/>
  <c r="J10" i="10"/>
  <c r="J9" i="10"/>
  <c r="J8" i="10"/>
  <c r="J7" i="10"/>
  <c r="J6" i="10"/>
  <c r="H55" i="10"/>
  <c r="G55" i="10"/>
  <c r="I55" i="10" s="1"/>
  <c r="H53" i="10"/>
  <c r="G53" i="10"/>
  <c r="I53" i="10" s="1"/>
  <c r="H52" i="10"/>
  <c r="G52" i="10"/>
  <c r="I52" i="10" s="1"/>
  <c r="H46" i="10"/>
  <c r="G46" i="10"/>
  <c r="I46" i="10" s="1"/>
  <c r="H44" i="10"/>
  <c r="G44" i="10"/>
  <c r="I44" i="10" s="1"/>
  <c r="H43" i="10"/>
  <c r="G43" i="10"/>
  <c r="I43" i="10" s="1"/>
  <c r="I42" i="10"/>
  <c r="H42" i="10"/>
  <c r="G42" i="10"/>
  <c r="I41" i="10"/>
  <c r="H41" i="10"/>
  <c r="G41" i="10"/>
  <c r="H40" i="10"/>
  <c r="G40" i="10"/>
  <c r="I40" i="10" s="1"/>
  <c r="H39" i="10"/>
  <c r="G39" i="10"/>
  <c r="I39" i="10" s="1"/>
  <c r="H38" i="10"/>
  <c r="G38" i="10"/>
  <c r="I38" i="10" s="1"/>
  <c r="H37" i="10"/>
  <c r="G37" i="10"/>
  <c r="I37" i="10" s="1"/>
  <c r="T33" i="10"/>
  <c r="S33" i="10"/>
  <c r="R33" i="10"/>
  <c r="Q33" i="10"/>
  <c r="P33" i="10"/>
  <c r="O33" i="10"/>
  <c r="N33" i="10"/>
  <c r="M33" i="10"/>
  <c r="I33" i="10"/>
  <c r="H33" i="10"/>
  <c r="G33" i="10"/>
  <c r="E33" i="10"/>
  <c r="F32" i="10"/>
  <c r="F31" i="10"/>
  <c r="K30" i="10"/>
  <c r="J30" i="10"/>
  <c r="L30" i="10" s="1"/>
  <c r="F30" i="10"/>
  <c r="F29" i="10"/>
  <c r="L28" i="10"/>
  <c r="K28" i="10"/>
  <c r="J28" i="10"/>
  <c r="F28" i="10"/>
  <c r="K26" i="10"/>
  <c r="J26" i="10"/>
  <c r="L26" i="10" s="1"/>
  <c r="F26" i="10"/>
  <c r="F25" i="10"/>
  <c r="F24" i="10"/>
  <c r="F23" i="10"/>
  <c r="F22" i="10"/>
  <c r="F21" i="10"/>
  <c r="K20" i="10"/>
  <c r="K33" i="10" s="1"/>
  <c r="J20" i="10"/>
  <c r="L20" i="10" s="1"/>
  <c r="L33" i="10" s="1"/>
  <c r="F20" i="10"/>
  <c r="F19" i="10"/>
  <c r="F33" i="10" s="1"/>
  <c r="K13" i="10"/>
  <c r="J13" i="10"/>
  <c r="L13" i="10" s="1"/>
  <c r="K12" i="10"/>
  <c r="J12" i="10"/>
  <c r="L12" i="10" s="1"/>
  <c r="J33" i="10" l="1"/>
</calcChain>
</file>

<file path=xl/sharedStrings.xml><?xml version="1.0" encoding="utf-8"?>
<sst xmlns="http://schemas.openxmlformats.org/spreadsheetml/2006/main" count="404" uniqueCount="115">
  <si>
    <t>PEPL_Daily Performance Report</t>
  </si>
  <si>
    <t>Report Date</t>
  </si>
  <si>
    <t>Line No.</t>
  </si>
  <si>
    <t>SAP Location</t>
  </si>
  <si>
    <t>Customer</t>
  </si>
  <si>
    <t>Model</t>
  </si>
  <si>
    <t>Month Plan</t>
  </si>
  <si>
    <t>Production</t>
  </si>
  <si>
    <t>UPH</t>
  </si>
  <si>
    <t>UPPH</t>
  </si>
  <si>
    <t>OS&amp;D 
 (Reporting Date)</t>
  </si>
  <si>
    <t>OS&amp;D MTD</t>
  </si>
  <si>
    <t>Open WO 
 (Qty)</t>
  </si>
  <si>
    <t>&gt;7 Days WO 
 (Qty)</t>
  </si>
  <si>
    <t>WIP Lying 
 &gt;3 Days (Cr)</t>
  </si>
  <si>
    <t>WIP Lying 
 &gt;7 Days (Cr)</t>
  </si>
  <si>
    <t>Issue description</t>
  </si>
  <si>
    <t>Plan</t>
  </si>
  <si>
    <t>Actual</t>
  </si>
  <si>
    <t>Target</t>
  </si>
  <si>
    <t>Installed</t>
  </si>
  <si>
    <t>Value (INR)</t>
  </si>
  <si>
    <t>%</t>
  </si>
  <si>
    <t>FA-01</t>
  </si>
  <si>
    <t>3FAI</t>
  </si>
  <si>
    <t>HP</t>
  </si>
  <si>
    <t>AIO</t>
  </si>
  <si>
    <t>FA-04</t>
  </si>
  <si>
    <t>ASUS</t>
  </si>
  <si>
    <t>FA-05</t>
  </si>
  <si>
    <t>ACER</t>
  </si>
  <si>
    <t>Travel lite</t>
  </si>
  <si>
    <t>GIGABYTE</t>
  </si>
  <si>
    <t>PVT Build</t>
  </si>
  <si>
    <t>Total</t>
  </si>
  <si>
    <t>-</t>
  </si>
  <si>
    <t>&gt;7 Days WO 
 (Sum of Bal Qty)</t>
  </si>
  <si>
    <t>SMT-01</t>
  </si>
  <si>
    <t>3SAI</t>
  </si>
  <si>
    <t>SMT-02</t>
  </si>
  <si>
    <t>OLAF</t>
  </si>
  <si>
    <t>NPI</t>
  </si>
  <si>
    <t>No Plan</t>
  </si>
  <si>
    <t>SMT-05</t>
  </si>
  <si>
    <t>JUMANJI</t>
  </si>
  <si>
    <t>SMT-04</t>
  </si>
  <si>
    <t>F Series</t>
  </si>
  <si>
    <t>AIO BOGGLE</t>
  </si>
  <si>
    <t>E Series DB</t>
  </si>
  <si>
    <t>Top Contributor</t>
  </si>
  <si>
    <t>RCA</t>
  </si>
  <si>
    <t>Action Plan</t>
  </si>
  <si>
    <t>KPI Owner</t>
  </si>
  <si>
    <t>FATP L1</t>
  </si>
  <si>
    <t>FATP L4</t>
  </si>
  <si>
    <t>FATP L5</t>
  </si>
  <si>
    <t>SMT L1</t>
  </si>
  <si>
    <t>SMT L 2</t>
  </si>
  <si>
    <t>SMT L5</t>
  </si>
  <si>
    <t>Escalation 1</t>
  </si>
  <si>
    <t>Escalation 2</t>
  </si>
  <si>
    <t>FA-03</t>
  </si>
  <si>
    <t>FATP L3</t>
  </si>
  <si>
    <t>SMT L4</t>
  </si>
  <si>
    <t>X Series</t>
  </si>
  <si>
    <t>FA-02</t>
  </si>
  <si>
    <t>NB-2</t>
  </si>
  <si>
    <t>FA-06</t>
  </si>
  <si>
    <t>FA-07</t>
  </si>
  <si>
    <t>FATP L2</t>
  </si>
  <si>
    <t>RAINBOW CAKE</t>
  </si>
  <si>
    <t>FATP L6</t>
  </si>
  <si>
    <t>FATP L7</t>
  </si>
  <si>
    <t>X-Series</t>
  </si>
  <si>
    <t>E Series MB</t>
  </si>
  <si>
    <t>M1605NAQ</t>
  </si>
  <si>
    <t>M Series</t>
  </si>
  <si>
    <t>NB-3</t>
  </si>
  <si>
    <t>E-Series</t>
  </si>
  <si>
    <t>Pudding</t>
  </si>
  <si>
    <t>PUDDING</t>
  </si>
  <si>
    <t>SMT L2</t>
  </si>
  <si>
    <t>ABEI - RPLU</t>
  </si>
  <si>
    <t>ABEI-RPLU</t>
  </si>
  <si>
    <t>X &amp; M-Series</t>
  </si>
  <si>
    <t>Plan Completed</t>
  </si>
  <si>
    <t>1. Under Analysis
2. Under Analysis</t>
  </si>
  <si>
    <t>ABE HPT</t>
  </si>
  <si>
    <t xml:space="preserve"> X-Series</t>
  </si>
  <si>
    <t>1. CFT
2. CFT</t>
  </si>
  <si>
    <t>RAMESES</t>
  </si>
  <si>
    <t>SMT-03</t>
  </si>
  <si>
    <t>1. Under Analysis</t>
  </si>
  <si>
    <t>1. CFT</t>
  </si>
  <si>
    <t xml:space="preserve">Coo label not generated for all units - 90 mins-IT
WIP clearance
</t>
  </si>
  <si>
    <t>NB-1</t>
  </si>
  <si>
    <t xml:space="preserve">
AIO Model running
WIP clearance
</t>
  </si>
  <si>
    <t xml:space="preserve">
MAC Label not  Print Generated Issue (C shift)
COO label not generated for all units - 90 mins-IT
WIP clearance
</t>
  </si>
  <si>
    <t xml:space="preserve">COO label not generated for all units - 90 mins-IT
WIP clearance
</t>
  </si>
  <si>
    <t xml:space="preserve">Assy line Dummy label print cut issue - 45 Mins-IT
Packing online input
</t>
  </si>
  <si>
    <t xml:space="preserve">Assy SSN Label print cut issue - 10 Mins-IT
Packing online input
</t>
  </si>
  <si>
    <t>1.P&amp;P M1-T15-S7 Pickup Issue Teaching - 30Mins - Equipment
2.Reflow After Coneyour Width Adjustment - 30Mins - Equipment
3.Top side stencil cleaning &amp; spare stencil not available - 30Mins - Process</t>
  </si>
  <si>
    <t>1.Line Washout and Wip Clearance - CFT
2. Line Handovered for NPI -CFT</t>
  </si>
  <si>
    <t>1.XVAP(MA)-MB  Test panel running - CFT</t>
  </si>
  <si>
    <t>1.P&amp;P Multiple part delay - 60Mins -Kitting
2.DEK - Top side excess printing issue - 30Mins - Equipment
3.Router inner cut issue - 30Mins  - Equipment</t>
  </si>
  <si>
    <t xml:space="preserve">Plan Completed
Wip clearance </t>
  </si>
  <si>
    <t xml:space="preserve">Waiting for RCA form IT Team
</t>
  </si>
  <si>
    <t>IT</t>
  </si>
  <si>
    <t>Prakash</t>
  </si>
  <si>
    <t>1. Under Analysis
2. Under Analysis
3. Under Analysis</t>
  </si>
  <si>
    <t>1. Equipment
2. Equipment
3. Process</t>
  </si>
  <si>
    <t>1. Baskar
2. Baskar
3. Manjunathan</t>
  </si>
  <si>
    <t>1. Kitting
2. Equipment
3. Equipment</t>
  </si>
  <si>
    <t>1. Mohan
2. Baskar
3. Baskar</t>
  </si>
  <si>
    <t>CPH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</si>
</sst>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₹&quot;\ #,##0.00;[Red]&quot;₹&quot;\ \-#,##0.00"/>
    <numFmt numFmtId="165" formatCode="dd\-mmm\-yy"/>
    <numFmt numFmtId="166" formatCode="0.0"/>
  </numFmts>
  <fonts count="17">
    <font>
      <sz val="11"/>
      <color theme="1"/>
      <name val="Calibri"/>
      <family val="2"/>
      <scheme val="minor"/>
    </font>
    <font>
      <b/>
      <sz val="10"/>
      <color rgb="FF000000"/>
      <name val="&quot;Calibri Light&quot;"/>
    </font>
    <font>
      <sz val="10"/>
      <color rgb="FF000000"/>
      <name val="&quot;Calibri Light&quot;"/>
    </font>
    <font>
      <b/>
      <sz val="10"/>
      <color rgb="FFFFFFFF"/>
      <name val="&quot;Calibri Light&quot;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1"/>
      <color rgb="FF66666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2F5496"/>
        <bgColor rgb="FF2F5496"/>
      </patternFill>
    </fill>
    <fill>
      <patternFill patternType="solid">
        <fgColor rgb="FF305496"/>
        <bgColor rgb="FF305496"/>
      </patternFill>
    </fill>
    <fill>
      <patternFill patternType="solid">
        <fgColor rgb="FFEFEFEF"/>
        <bgColor rgb="FFEFEFEF"/>
      </patternFill>
    </fill>
    <fill>
      <patternFill patternType="solid">
        <fgColor rgb="FFD0CECE"/>
        <bgColor rgb="FFD0CECE"/>
      </patternFill>
    </fill>
    <fill>
      <patternFill patternType="solid">
        <fgColor rgb="FF5A8AC6"/>
        <bgColor rgb="FF5A8AC6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4" xfId="0" applyFont="1" applyBorder="1" applyAlignment="1">
      <alignment horizontal="center"/>
    </xf>
    <xf numFmtId="0" fontId="2" fillId="0" borderId="0" xfId="0" applyFont="1"/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7" xfId="0" applyFont="1" applyFill="1" applyBorder="1"/>
    <xf numFmtId="0" fontId="3" fillId="3" borderId="5" xfId="0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164" fontId="2" fillId="6" borderId="7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65" fontId="6" fillId="2" borderId="5" xfId="0" applyNumberFormat="1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7" xfId="0" applyFont="1" applyBorder="1" applyAlignment="1"/>
    <xf numFmtId="0" fontId="6" fillId="6" borderId="7" xfId="0" applyFont="1" applyFill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2" fontId="6" fillId="0" borderId="7" xfId="0" applyNumberFormat="1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1" fillId="0" borderId="0" xfId="0" applyFont="1" applyAlignment="1"/>
    <xf numFmtId="0" fontId="11" fillId="7" borderId="7" xfId="0" applyFont="1" applyFill="1" applyBorder="1" applyAlignment="1">
      <alignment horizontal="center" vertical="center"/>
    </xf>
    <xf numFmtId="0" fontId="11" fillId="0" borderId="0" xfId="0" applyFont="1"/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 wrapText="1"/>
    </xf>
    <xf numFmtId="2" fontId="11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vertical="top" wrapText="1"/>
    </xf>
    <xf numFmtId="164" fontId="6" fillId="8" borderId="7" xfId="0" applyNumberFormat="1" applyFont="1" applyFill="1" applyBorder="1" applyAlignment="1">
      <alignment horizontal="left" wrapText="1"/>
    </xf>
    <xf numFmtId="164" fontId="6" fillId="8" borderId="7" xfId="0" applyNumberFormat="1" applyFont="1" applyFill="1" applyBorder="1" applyAlignment="1">
      <alignment horizontal="left" vertical="top" wrapText="1"/>
    </xf>
    <xf numFmtId="164" fontId="6" fillId="8" borderId="7" xfId="0" applyNumberFormat="1" applyFont="1" applyFill="1" applyBorder="1" applyAlignment="1">
      <alignment horizontal="left" vertical="center" wrapText="1"/>
    </xf>
    <xf numFmtId="0" fontId="13" fillId="0" borderId="7" xfId="0" applyFont="1" applyBorder="1" applyAlignment="1">
      <alignment horizontal="center" vertical="center"/>
    </xf>
    <xf numFmtId="0" fontId="0" fillId="0" borderId="0" xfId="0" applyFont="1" applyAlignment="1"/>
    <xf numFmtId="2" fontId="14" fillId="0" borderId="7" xfId="0" applyNumberFormat="1" applyFont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4" fontId="7" fillId="0" borderId="7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0" fontId="8" fillId="0" borderId="7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0" borderId="7" xfId="0" applyNumberFormat="1" applyFont="1" applyBorder="1" applyAlignment="1">
      <alignment horizontal="center"/>
    </xf>
    <xf numFmtId="10" fontId="8" fillId="0" borderId="7" xfId="0" applyNumberFormat="1" applyFont="1" applyBorder="1" applyAlignment="1">
      <alignment horizontal="center"/>
    </xf>
    <xf numFmtId="10" fontId="6" fillId="0" borderId="7" xfId="0" applyNumberFormat="1" applyFont="1" applyBorder="1" applyAlignment="1">
      <alignment horizontal="center"/>
    </xf>
    <xf numFmtId="1" fontId="15" fillId="0" borderId="7" xfId="0" applyNumberFormat="1" applyFont="1" applyBorder="1" applyAlignment="1">
      <alignment horizontal="center" vertical="center"/>
    </xf>
    <xf numFmtId="166" fontId="7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2" fontId="2" fillId="6" borderId="7" xfId="0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 wrapText="1"/>
    </xf>
    <xf numFmtId="0" fontId="16" fillId="0" borderId="11" xfId="0" applyFont="1" applyBorder="1" applyAlignment="1">
      <alignment wrapText="1"/>
    </xf>
    <xf numFmtId="0" fontId="11" fillId="9" borderId="7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left" vertical="top" wrapText="1"/>
    </xf>
    <xf numFmtId="0" fontId="6" fillId="0" borderId="7" xfId="0" applyFont="1" applyBorder="1" applyAlignment="1">
      <alignment wrapText="1"/>
    </xf>
    <xf numFmtId="0" fontId="6" fillId="0" borderId="7" xfId="0" applyFont="1" applyBorder="1" applyAlignment="1">
      <alignment vertical="center" wrapText="1"/>
    </xf>
    <xf numFmtId="164" fontId="6" fillId="8" borderId="8" xfId="0" applyNumberFormat="1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/>
    </xf>
    <xf numFmtId="0" fontId="11" fillId="0" borderId="7" xfId="0" applyFont="1" applyBorder="1" applyAlignment="1">
      <alignment vertical="center"/>
    </xf>
    <xf numFmtId="0" fontId="11" fillId="0" borderId="7" xfId="0" applyFont="1" applyBorder="1" applyAlignment="1"/>
    <xf numFmtId="0" fontId="11" fillId="0" borderId="7" xfId="0" applyFont="1" applyBorder="1" applyAlignment="1">
      <alignment horizontal="center"/>
    </xf>
    <xf numFmtId="164" fontId="6" fillId="8" borderId="0" xfId="0" applyNumberFormat="1" applyFont="1" applyFill="1" applyAlignment="1">
      <alignment horizontal="center" vertical="center" wrapText="1"/>
    </xf>
    <xf numFmtId="0" fontId="11" fillId="0" borderId="7" xfId="0" applyFont="1" applyBorder="1" applyAlignment="1">
      <alignment horizontal="left"/>
    </xf>
    <xf numFmtId="4" fontId="7" fillId="0" borderId="7" xfId="0" applyNumberFormat="1" applyFont="1" applyBorder="1" applyAlignment="1">
      <alignment horizontal="left" vertical="top"/>
    </xf>
    <xf numFmtId="0" fontId="11" fillId="0" borderId="10" xfId="0" applyFont="1" applyBorder="1" applyAlignment="1">
      <alignment horizontal="left" vertical="top"/>
    </xf>
    <xf numFmtId="0" fontId="11" fillId="0" borderId="7" xfId="0" applyFont="1" applyBorder="1" applyAlignment="1">
      <alignment horizontal="left" vertical="top"/>
    </xf>
    <xf numFmtId="0" fontId="11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top" wrapText="1"/>
    </xf>
    <xf numFmtId="0" fontId="2" fillId="5" borderId="6" xfId="0" applyFont="1" applyFill="1" applyBorder="1" applyAlignment="1">
      <alignment horizontal="center" vertical="center"/>
    </xf>
    <xf numFmtId="0" fontId="5" fillId="0" borderId="4" xfId="0" applyFont="1" applyBorder="1"/>
    <xf numFmtId="0" fontId="6" fillId="0" borderId="6" xfId="0" applyFont="1" applyBorder="1" applyAlignment="1">
      <alignment horizontal="center" vertical="center"/>
    </xf>
    <xf numFmtId="0" fontId="5" fillId="0" borderId="9" xfId="0" applyFont="1" applyBorder="1"/>
    <xf numFmtId="164" fontId="6" fillId="0" borderId="6" xfId="0" applyNumberFormat="1" applyFont="1" applyBorder="1" applyAlignment="1">
      <alignment horizontal="center" vertical="center"/>
    </xf>
    <xf numFmtId="0" fontId="3" fillId="4" borderId="6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10" fontId="8" fillId="0" borderId="6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5" fillId="0" borderId="3" xfId="0" applyFont="1" applyBorder="1"/>
    <xf numFmtId="0" fontId="4" fillId="0" borderId="1" xfId="0" applyFont="1" applyBorder="1" applyAlignment="1">
      <alignment horizontal="center"/>
    </xf>
    <xf numFmtId="0" fontId="5" fillId="0" borderId="2" xfId="0" applyFont="1" applyBorder="1"/>
    <xf numFmtId="0" fontId="12" fillId="3" borderId="6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 wrapText="1"/>
    </xf>
    <xf numFmtId="0" fontId="5" fillId="0" borderId="8" xfId="0" applyFont="1" applyBorder="1"/>
    <xf numFmtId="0" fontId="5" fillId="0" borderId="5" xfId="0" applyFont="1" applyBorder="1"/>
    <xf numFmtId="164" fontId="6" fillId="8" borderId="8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10" fontId="6" fillId="0" borderId="6" xfId="0" applyNumberFormat="1" applyFont="1" applyBorder="1" applyAlignment="1">
      <alignment horizontal="center" vertical="center"/>
    </xf>
    <xf numFmtId="10" fontId="6" fillId="8" borderId="8" xfId="0" applyNumberFormat="1" applyFont="1" applyFill="1" applyBorder="1" applyAlignment="1">
      <alignment horizontal="center" vertical="center" wrapText="1"/>
    </xf>
    <xf numFmtId="3" fontId="6" fillId="0" borderId="6" xfId="0" applyNumberFormat="1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8"/>
  <sheetViews>
    <sheetView tabSelected="1" topLeftCell="M2" zoomScale="115" zoomScaleNormal="115" workbookViewId="0">
      <selection activeCell="D3" sqref="D3"/>
    </sheetView>
  </sheetViews>
  <sheetFormatPr defaultRowHeight="15"/>
  <cols>
    <col min="2" max="2" width="9.42578125" bestFit="1" customWidth="1"/>
    <col min="4" max="4" width="15.7109375" bestFit="1" customWidth="1"/>
    <col min="10" max="10" width="84" customWidth="1"/>
    <col min="11" max="11" width="99.42578125" bestFit="1" customWidth="1"/>
    <col min="12" max="12" width="15.85546875" bestFit="1" customWidth="1"/>
    <col min="13" max="13" width="78.28515625" bestFit="1" customWidth="1"/>
    <col min="14" max="14" width="39.140625" bestFit="1" customWidth="1"/>
    <col min="15" max="15" width="19.140625" customWidth="1"/>
    <col min="16" max="16" width="22.140625" customWidth="1"/>
    <col min="17" max="17" width="16.5703125" bestFit="1" customWidth="1"/>
    <col min="18" max="18" width="29.85546875" bestFit="1" customWidth="1"/>
    <col min="19" max="19" width="28.28515625" customWidth="1"/>
    <col min="20" max="20" width="39.7109375" customWidth="1"/>
    <col min="21" max="21" width="89.85546875" customWidth="1"/>
  </cols>
  <sheetData>
    <row r="1" spans="1:22" s="41" customFormat="1">
      <c r="A1" s="85" t="s">
        <v>0</v>
      </c>
      <c r="B1" s="86"/>
      <c r="C1" s="86"/>
      <c r="D1" s="86"/>
      <c r="E1" s="86"/>
      <c r="F1" s="84"/>
      <c r="G1" s="1"/>
      <c r="H1" s="1"/>
      <c r="I1" s="1"/>
      <c r="J1" s="1"/>
      <c r="K1" s="18"/>
      <c r="L1" s="18"/>
      <c r="M1" s="18"/>
      <c r="N1" s="18"/>
      <c r="O1" s="1"/>
      <c r="P1" s="1"/>
      <c r="Q1" s="1"/>
      <c r="R1" s="1"/>
      <c r="S1" s="2"/>
      <c r="T1" s="2"/>
      <c r="U1" s="1"/>
      <c r="V1" s="1"/>
    </row>
    <row r="2" spans="1:22" s="41" customFormat="1">
      <c r="A2" s="3" t="s">
        <v>1</v>
      </c>
      <c r="B2" s="19">
        <v>46314</v>
      </c>
      <c r="C2" s="1"/>
      <c r="D2" s="1"/>
      <c r="E2" s="1"/>
      <c r="F2" s="1"/>
      <c r="G2" s="1"/>
      <c r="H2" s="18"/>
      <c r="I2" s="18"/>
      <c r="J2" s="18"/>
      <c r="K2" s="18"/>
      <c r="L2" s="18"/>
      <c r="M2" s="18"/>
      <c r="N2" s="18"/>
      <c r="O2" s="1"/>
      <c r="P2" s="1"/>
      <c r="Q2" s="1"/>
      <c r="R2" s="1"/>
      <c r="S2" s="4"/>
      <c r="T2" s="4"/>
      <c r="U2" s="1"/>
      <c r="V2" s="1"/>
    </row>
    <row r="3" spans="1:22" s="41" customFormat="1" ht="15.75" customHeight="1"/>
    <row r="4" spans="1:22" s="41" customFormat="1">
      <c r="A4" s="81" t="s">
        <v>2</v>
      </c>
      <c r="B4" s="81" t="s">
        <v>3</v>
      </c>
      <c r="C4" s="87" t="s">
        <v>4</v>
      </c>
      <c r="D4" s="81" t="s">
        <v>5</v>
      </c>
      <c r="E4" s="83" t="s">
        <v>6</v>
      </c>
      <c r="F4" s="84"/>
      <c r="G4" s="83" t="s">
        <v>7</v>
      </c>
      <c r="H4" s="84"/>
      <c r="I4" s="83" t="s">
        <v>8</v>
      </c>
      <c r="J4" s="84"/>
      <c r="K4" s="83" t="s">
        <v>9</v>
      </c>
      <c r="L4" s="84"/>
      <c r="M4" s="83" t="s">
        <v>10</v>
      </c>
      <c r="N4" s="84"/>
      <c r="O4" s="83" t="s">
        <v>11</v>
      </c>
      <c r="P4" s="84"/>
      <c r="Q4" s="80" t="s">
        <v>12</v>
      </c>
      <c r="R4" s="80" t="s">
        <v>13</v>
      </c>
      <c r="S4" s="97" t="s">
        <v>14</v>
      </c>
      <c r="T4" s="81" t="s">
        <v>15</v>
      </c>
      <c r="U4" s="87" t="s">
        <v>16</v>
      </c>
      <c r="V4" s="1"/>
    </row>
    <row r="5" spans="1:22" s="41" customFormat="1" ht="28.5" customHeight="1">
      <c r="A5" s="76"/>
      <c r="B5" s="76"/>
      <c r="C5" s="76"/>
      <c r="D5" s="76"/>
      <c r="E5" s="5" t="s">
        <v>17</v>
      </c>
      <c r="F5" s="5" t="s">
        <v>18</v>
      </c>
      <c r="G5" s="5" t="s">
        <v>17</v>
      </c>
      <c r="H5" s="5" t="s">
        <v>18</v>
      </c>
      <c r="I5" s="5" t="s">
        <v>19</v>
      </c>
      <c r="J5" s="5" t="s">
        <v>18</v>
      </c>
      <c r="K5" s="5" t="s">
        <v>20</v>
      </c>
      <c r="L5" s="5" t="s">
        <v>18</v>
      </c>
      <c r="M5" s="6" t="s">
        <v>21</v>
      </c>
      <c r="N5" s="6" t="s">
        <v>22</v>
      </c>
      <c r="O5" s="5" t="s">
        <v>21</v>
      </c>
      <c r="P5" s="5" t="s">
        <v>22</v>
      </c>
      <c r="Q5" s="76"/>
      <c r="R5" s="76"/>
      <c r="S5" s="76"/>
      <c r="T5" s="76"/>
      <c r="U5" s="76"/>
      <c r="V5" s="1"/>
    </row>
    <row r="6" spans="1:22" s="41" customFormat="1" ht="45">
      <c r="A6" s="15" t="s">
        <v>23</v>
      </c>
      <c r="B6" s="15" t="s">
        <v>24</v>
      </c>
      <c r="C6" s="15" t="s">
        <v>25</v>
      </c>
      <c r="D6" s="51" t="s">
        <v>26</v>
      </c>
      <c r="E6" s="24">
        <v>15440</v>
      </c>
      <c r="F6" s="43">
        <v>11285</v>
      </c>
      <c r="G6" s="43">
        <v>238</v>
      </c>
      <c r="H6" s="43">
        <v>238</v>
      </c>
      <c r="I6" s="43">
        <v>60</v>
      </c>
      <c r="J6" s="52">
        <f>H6/4</f>
        <v>59.5</v>
      </c>
      <c r="K6" s="44">
        <f>I6/(3*69)</f>
        <v>0.28985507246376813</v>
      </c>
      <c r="L6" s="44">
        <f>J6/206</f>
        <v>0.28883495145631066</v>
      </c>
      <c r="M6" s="45">
        <v>7.9016999999999999</v>
      </c>
      <c r="N6" s="46">
        <v>3.0000000000000001E-5</v>
      </c>
      <c r="O6" s="45">
        <v>24025.165679999998</v>
      </c>
      <c r="P6" s="46">
        <v>2.5500000000000002E-3</v>
      </c>
      <c r="Q6" s="23" t="s">
        <v>35</v>
      </c>
      <c r="R6" s="53" t="e">
        <v>#N/A</v>
      </c>
      <c r="S6" s="53" t="e">
        <v>#N/A</v>
      </c>
      <c r="T6" s="53" t="e">
        <v>#N/A</v>
      </c>
      <c r="U6" s="57" t="s">
        <v>94</v>
      </c>
      <c r="V6" s="1"/>
    </row>
    <row r="7" spans="1:22" s="41" customFormat="1" ht="60">
      <c r="A7" s="15" t="s">
        <v>23</v>
      </c>
      <c r="B7" s="15" t="s">
        <v>24</v>
      </c>
      <c r="C7" s="15" t="s">
        <v>25</v>
      </c>
      <c r="D7" s="51" t="s">
        <v>95</v>
      </c>
      <c r="E7" s="75">
        <v>31890</v>
      </c>
      <c r="F7" s="77">
        <v>67568</v>
      </c>
      <c r="G7" s="43">
        <v>160</v>
      </c>
      <c r="H7" s="43">
        <v>160</v>
      </c>
      <c r="I7" s="43">
        <v>70</v>
      </c>
      <c r="J7" s="52">
        <f>H7/3</f>
        <v>53.333333333333336</v>
      </c>
      <c r="K7" s="44">
        <f>I7/(3*69)</f>
        <v>0.33816425120772947</v>
      </c>
      <c r="L7" s="44">
        <f>J7/206</f>
        <v>0.25889967637540456</v>
      </c>
      <c r="M7" s="79">
        <v>644.12549999999999</v>
      </c>
      <c r="N7" s="82">
        <v>2.5000000000000001E-3</v>
      </c>
      <c r="O7" s="79">
        <v>447881.21</v>
      </c>
      <c r="P7" s="82">
        <v>1.04E-2</v>
      </c>
      <c r="Q7" s="23" t="s">
        <v>35</v>
      </c>
      <c r="R7" s="53" t="e">
        <v>#N/A</v>
      </c>
      <c r="S7" s="53" t="e">
        <v>#N/A</v>
      </c>
      <c r="T7" s="53" t="e">
        <v>#N/A</v>
      </c>
      <c r="U7" s="57" t="s">
        <v>96</v>
      </c>
      <c r="V7" s="1"/>
    </row>
    <row r="8" spans="1:22" s="41" customFormat="1" ht="75">
      <c r="A8" s="15" t="s">
        <v>65</v>
      </c>
      <c r="B8" s="15" t="s">
        <v>24</v>
      </c>
      <c r="C8" s="15" t="s">
        <v>25</v>
      </c>
      <c r="D8" s="51" t="s">
        <v>66</v>
      </c>
      <c r="E8" s="78"/>
      <c r="F8" s="78"/>
      <c r="G8" s="43">
        <v>55</v>
      </c>
      <c r="H8" s="43">
        <v>55</v>
      </c>
      <c r="I8" s="43">
        <v>100</v>
      </c>
      <c r="J8" s="52">
        <f>H8/1</f>
        <v>55</v>
      </c>
      <c r="K8" s="44">
        <f>I8/(3*76)</f>
        <v>0.43859649122807015</v>
      </c>
      <c r="L8" s="44">
        <f>J8/207</f>
        <v>0.26570048309178745</v>
      </c>
      <c r="M8" s="78"/>
      <c r="N8" s="78"/>
      <c r="O8" s="78"/>
      <c r="P8" s="78"/>
      <c r="Q8" s="23" t="s">
        <v>35</v>
      </c>
      <c r="R8" s="53" t="e">
        <v>#N/A</v>
      </c>
      <c r="S8" s="53" t="e">
        <v>#N/A</v>
      </c>
      <c r="T8" s="53" t="e">
        <v>#N/A</v>
      </c>
      <c r="U8" s="57" t="s">
        <v>97</v>
      </c>
      <c r="V8" s="1"/>
    </row>
    <row r="9" spans="1:22" s="41" customFormat="1" ht="45">
      <c r="A9" s="15" t="s">
        <v>61</v>
      </c>
      <c r="B9" s="15" t="s">
        <v>24</v>
      </c>
      <c r="C9" s="15" t="s">
        <v>25</v>
      </c>
      <c r="D9" s="51" t="s">
        <v>77</v>
      </c>
      <c r="E9" s="76"/>
      <c r="F9" s="78"/>
      <c r="G9" s="43">
        <v>180</v>
      </c>
      <c r="H9" s="43">
        <v>180</v>
      </c>
      <c r="I9" s="43">
        <v>100</v>
      </c>
      <c r="J9" s="52">
        <f>H9/2</f>
        <v>90</v>
      </c>
      <c r="K9" s="44">
        <f>I9/(3*76)</f>
        <v>0.43859649122807015</v>
      </c>
      <c r="L9" s="44">
        <f>J9/206</f>
        <v>0.43689320388349512</v>
      </c>
      <c r="M9" s="76"/>
      <c r="N9" s="76"/>
      <c r="O9" s="76"/>
      <c r="P9" s="76"/>
      <c r="Q9" s="23" t="s">
        <v>35</v>
      </c>
      <c r="R9" s="53" t="e">
        <v>#N/A</v>
      </c>
      <c r="S9" s="53" t="e">
        <v>#N/A</v>
      </c>
      <c r="T9" s="53" t="e">
        <v>#N/A</v>
      </c>
      <c r="U9" s="57" t="s">
        <v>98</v>
      </c>
      <c r="V9" s="1"/>
    </row>
    <row r="10" spans="1:22" s="41" customFormat="1" ht="54.75" customHeight="1">
      <c r="A10" s="15" t="s">
        <v>27</v>
      </c>
      <c r="B10" s="15" t="s">
        <v>24</v>
      </c>
      <c r="C10" s="15" t="s">
        <v>28</v>
      </c>
      <c r="D10" s="51" t="s">
        <v>84</v>
      </c>
      <c r="E10" s="75">
        <v>37404</v>
      </c>
      <c r="F10" s="43">
        <v>40862</v>
      </c>
      <c r="G10" s="43">
        <v>1100</v>
      </c>
      <c r="H10" s="43">
        <v>1041</v>
      </c>
      <c r="I10" s="43">
        <v>100</v>
      </c>
      <c r="J10" s="52">
        <f>H10/11</f>
        <v>94.63636363636364</v>
      </c>
      <c r="K10" s="44">
        <f>I10/(3*75)</f>
        <v>0.44444444444444442</v>
      </c>
      <c r="L10" s="44">
        <f>J10/192</f>
        <v>0.49289772727272729</v>
      </c>
      <c r="M10" s="47">
        <v>1945</v>
      </c>
      <c r="N10" s="46">
        <v>3.8000000000000002E-5</v>
      </c>
      <c r="O10" s="47">
        <v>195929.8118</v>
      </c>
      <c r="P10" s="46">
        <v>1.2999999999999999E-4</v>
      </c>
      <c r="Q10" s="23" t="s">
        <v>35</v>
      </c>
      <c r="R10" s="53" t="e">
        <v>#N/A</v>
      </c>
      <c r="S10" s="53" t="e">
        <v>#N/A</v>
      </c>
      <c r="T10" s="53" t="e">
        <v>#N/A</v>
      </c>
      <c r="U10" s="57" t="s">
        <v>99</v>
      </c>
      <c r="V10" s="1"/>
    </row>
    <row r="11" spans="1:22" s="41" customFormat="1" ht="45">
      <c r="A11" s="15" t="s">
        <v>29</v>
      </c>
      <c r="B11" s="15" t="s">
        <v>24</v>
      </c>
      <c r="C11" s="15" t="s">
        <v>28</v>
      </c>
      <c r="D11" s="51" t="s">
        <v>78</v>
      </c>
      <c r="E11" s="76"/>
      <c r="F11" s="43">
        <v>10694</v>
      </c>
      <c r="G11" s="43">
        <v>1200</v>
      </c>
      <c r="H11" s="43">
        <v>1259</v>
      </c>
      <c r="I11" s="43">
        <v>100</v>
      </c>
      <c r="J11" s="52">
        <f>H11/13</f>
        <v>96.84615384615384</v>
      </c>
      <c r="K11" s="44">
        <f>I11/(3*75)</f>
        <v>0.44444444444444442</v>
      </c>
      <c r="L11" s="44">
        <f>J11/190</f>
        <v>0.50971659919028334</v>
      </c>
      <c r="M11" s="45">
        <v>403.77</v>
      </c>
      <c r="N11" s="46">
        <v>5.8000000000000004E-6</v>
      </c>
      <c r="O11" s="45">
        <v>97664.756693000003</v>
      </c>
      <c r="P11" s="46">
        <v>7.6000000000000004E-5</v>
      </c>
      <c r="Q11" s="23" t="s">
        <v>35</v>
      </c>
      <c r="R11" s="53" t="e">
        <v>#N/A</v>
      </c>
      <c r="S11" s="53" t="e">
        <v>#N/A</v>
      </c>
      <c r="T11" s="53" t="e">
        <v>#N/A</v>
      </c>
      <c r="U11" s="57" t="s">
        <v>100</v>
      </c>
      <c r="V11" s="1"/>
    </row>
    <row r="12" spans="1:22" s="41" customFormat="1">
      <c r="A12" s="15" t="s">
        <v>67</v>
      </c>
      <c r="B12" s="15" t="s">
        <v>24</v>
      </c>
      <c r="C12" s="15" t="s">
        <v>30</v>
      </c>
      <c r="D12" s="51" t="s">
        <v>31</v>
      </c>
      <c r="E12" s="8">
        <v>0</v>
      </c>
      <c r="F12" s="20">
        <v>0</v>
      </c>
      <c r="G12" s="43">
        <v>0</v>
      </c>
      <c r="H12" s="43">
        <v>0</v>
      </c>
      <c r="I12" s="43">
        <v>30</v>
      </c>
      <c r="J12" s="43" t="e">
        <f t="shared" ref="J12:J13" si="0">H12/0</f>
        <v>#DIV/0!</v>
      </c>
      <c r="K12" s="44">
        <f t="shared" ref="K12:K13" si="1">I12/59</f>
        <v>0.50847457627118642</v>
      </c>
      <c r="L12" s="44" t="e">
        <f>J12/49</f>
        <v>#DIV/0!</v>
      </c>
      <c r="M12" s="48">
        <v>0</v>
      </c>
      <c r="N12" s="49">
        <v>0</v>
      </c>
      <c r="O12" s="48">
        <v>0</v>
      </c>
      <c r="P12" s="50">
        <v>0</v>
      </c>
      <c r="Q12" s="23" t="s">
        <v>35</v>
      </c>
      <c r="R12" s="20">
        <v>2</v>
      </c>
      <c r="S12" s="21" t="e">
        <v>#N/A</v>
      </c>
      <c r="T12" s="21" t="e">
        <v>#N/A</v>
      </c>
      <c r="U12" s="57" t="s">
        <v>42</v>
      </c>
      <c r="V12" s="1"/>
    </row>
    <row r="13" spans="1:22" s="41" customFormat="1">
      <c r="A13" s="15" t="s">
        <v>68</v>
      </c>
      <c r="B13" s="15" t="s">
        <v>24</v>
      </c>
      <c r="C13" s="15" t="s">
        <v>32</v>
      </c>
      <c r="D13" s="51" t="s">
        <v>33</v>
      </c>
      <c r="E13" s="8">
        <v>0</v>
      </c>
      <c r="F13" s="20">
        <v>709</v>
      </c>
      <c r="G13" s="43">
        <v>0</v>
      </c>
      <c r="H13" s="43">
        <v>0</v>
      </c>
      <c r="I13" s="23">
        <v>30</v>
      </c>
      <c r="J13" s="52" t="e">
        <f t="shared" si="0"/>
        <v>#DIV/0!</v>
      </c>
      <c r="K13" s="44">
        <f t="shared" si="1"/>
        <v>0.50847457627118642</v>
      </c>
      <c r="L13" s="44" t="e">
        <f>J13/22</f>
        <v>#DIV/0!</v>
      </c>
      <c r="M13" s="48">
        <v>0</v>
      </c>
      <c r="N13" s="49">
        <v>0</v>
      </c>
      <c r="O13" s="48">
        <v>92298.171830000007</v>
      </c>
      <c r="P13" s="50">
        <v>1.09E-3</v>
      </c>
      <c r="Q13" s="23" t="s">
        <v>35</v>
      </c>
      <c r="R13" s="21" t="e">
        <v>#N/A</v>
      </c>
      <c r="S13" s="21" t="e">
        <v>#N/A</v>
      </c>
      <c r="T13" s="21" t="e">
        <v>#N/A</v>
      </c>
      <c r="U13" s="21" t="s">
        <v>35</v>
      </c>
      <c r="V13" s="1"/>
    </row>
    <row r="14" spans="1:22" s="41" customFormat="1" ht="16.5" customHeight="1">
      <c r="A14" s="92" t="s">
        <v>34</v>
      </c>
      <c r="B14" s="86"/>
      <c r="C14" s="86"/>
      <c r="D14" s="84"/>
      <c r="E14" s="22">
        <v>84734</v>
      </c>
      <c r="F14" s="22">
        <v>0</v>
      </c>
      <c r="G14" s="10">
        <v>0</v>
      </c>
      <c r="H14" s="10">
        <v>0</v>
      </c>
      <c r="I14" s="10" t="s">
        <v>35</v>
      </c>
      <c r="J14" s="10" t="s">
        <v>35</v>
      </c>
      <c r="K14" s="10" t="s">
        <v>35</v>
      </c>
      <c r="L14" s="22" t="s">
        <v>35</v>
      </c>
      <c r="M14" s="11" t="s">
        <v>35</v>
      </c>
      <c r="N14" s="11" t="s">
        <v>35</v>
      </c>
      <c r="O14" s="10" t="s">
        <v>35</v>
      </c>
      <c r="P14" s="10" t="s">
        <v>35</v>
      </c>
      <c r="Q14" s="10">
        <v>0</v>
      </c>
      <c r="R14" s="10">
        <v>0</v>
      </c>
      <c r="S14" s="12"/>
      <c r="T14" s="12"/>
      <c r="U14" s="10"/>
      <c r="V14" s="1"/>
    </row>
    <row r="15" spans="1:22" s="41" customFormat="1">
      <c r="Q15" s="30"/>
    </row>
    <row r="16" spans="1:22" s="41" customFormat="1">
      <c r="Q16" s="30"/>
    </row>
    <row r="17" spans="1:21" s="41" customFormat="1">
      <c r="A17" s="93" t="s">
        <v>2</v>
      </c>
      <c r="B17" s="93" t="s">
        <v>3</v>
      </c>
      <c r="C17" s="93" t="s">
        <v>4</v>
      </c>
      <c r="D17" s="81" t="s">
        <v>5</v>
      </c>
      <c r="E17" s="83" t="s">
        <v>6</v>
      </c>
      <c r="F17" s="84"/>
      <c r="G17" s="83" t="s">
        <v>7</v>
      </c>
      <c r="H17" s="84"/>
      <c r="I17" s="83" t="s">
        <v>8</v>
      </c>
      <c r="J17" s="84"/>
      <c r="K17" s="83" t="s">
        <v>114</v>
      </c>
      <c r="L17" s="84"/>
      <c r="M17" s="83" t="s">
        <v>10</v>
      </c>
      <c r="N17" s="84"/>
      <c r="O17" s="83" t="s">
        <v>11</v>
      </c>
      <c r="P17" s="84"/>
      <c r="Q17" s="80" t="s">
        <v>12</v>
      </c>
      <c r="R17" s="80" t="s">
        <v>36</v>
      </c>
      <c r="S17" s="81" t="s">
        <v>14</v>
      </c>
      <c r="T17" s="81" t="s">
        <v>15</v>
      </c>
      <c r="U17" s="81" t="s">
        <v>16</v>
      </c>
    </row>
    <row r="18" spans="1:21" s="41" customFormat="1">
      <c r="A18" s="76"/>
      <c r="B18" s="76"/>
      <c r="C18" s="76"/>
      <c r="D18" s="76"/>
      <c r="E18" s="5" t="s">
        <v>17</v>
      </c>
      <c r="F18" s="5" t="s">
        <v>18</v>
      </c>
      <c r="G18" s="5" t="s">
        <v>17</v>
      </c>
      <c r="H18" s="5" t="s">
        <v>18</v>
      </c>
      <c r="I18" s="5" t="s">
        <v>19</v>
      </c>
      <c r="J18" s="5" t="s">
        <v>18</v>
      </c>
      <c r="K18" s="5" t="s">
        <v>19</v>
      </c>
      <c r="L18" s="13" t="s">
        <v>18</v>
      </c>
      <c r="M18" s="6" t="s">
        <v>21</v>
      </c>
      <c r="N18" s="6" t="s">
        <v>22</v>
      </c>
      <c r="O18" s="6" t="s">
        <v>21</v>
      </c>
      <c r="P18" s="6" t="s">
        <v>22</v>
      </c>
      <c r="Q18" s="76"/>
      <c r="R18" s="76"/>
      <c r="S18" s="76"/>
      <c r="T18" s="76"/>
      <c r="U18" s="76"/>
    </row>
    <row r="19" spans="1:21" s="41" customFormat="1">
      <c r="A19" s="23" t="s">
        <v>39</v>
      </c>
      <c r="B19" s="14" t="s">
        <v>38</v>
      </c>
      <c r="C19" s="14" t="s">
        <v>25</v>
      </c>
      <c r="D19" s="25" t="s">
        <v>79</v>
      </c>
      <c r="E19" s="24">
        <v>21610</v>
      </c>
      <c r="F19" s="23">
        <f>0+232+1081+1419+575</f>
        <v>3307</v>
      </c>
      <c r="G19" s="23" t="s">
        <v>42</v>
      </c>
      <c r="H19" s="23" t="s">
        <v>42</v>
      </c>
      <c r="I19" s="23" t="s">
        <v>42</v>
      </c>
      <c r="J19" s="42" t="s">
        <v>42</v>
      </c>
      <c r="K19" s="42" t="s">
        <v>42</v>
      </c>
      <c r="L19" s="42" t="s">
        <v>42</v>
      </c>
      <c r="M19" s="79">
        <v>39200.730000000003</v>
      </c>
      <c r="N19" s="94">
        <v>2.2000000000000001E-3</v>
      </c>
      <c r="O19" s="91">
        <v>2711761.68</v>
      </c>
      <c r="P19" s="95">
        <v>3.8999999999999998E-3</v>
      </c>
      <c r="Q19" s="88">
        <v>22</v>
      </c>
      <c r="R19" s="88">
        <v>333</v>
      </c>
      <c r="S19" s="91">
        <v>12.72</v>
      </c>
      <c r="T19" s="91">
        <v>1.44</v>
      </c>
      <c r="U19" s="63" t="s">
        <v>42</v>
      </c>
    </row>
    <row r="20" spans="1:21" s="41" customFormat="1" ht="38.25">
      <c r="A20" s="14" t="s">
        <v>37</v>
      </c>
      <c r="B20" s="14" t="s">
        <v>38</v>
      </c>
      <c r="C20" s="14" t="s">
        <v>25</v>
      </c>
      <c r="D20" s="25" t="s">
        <v>47</v>
      </c>
      <c r="E20" s="16"/>
      <c r="F20" s="23">
        <f>685+890+943+916+826+553+624+418+113+345+555+537+621+497+707</f>
        <v>9230</v>
      </c>
      <c r="G20" s="23">
        <v>750</v>
      </c>
      <c r="H20" s="23">
        <v>707</v>
      </c>
      <c r="I20" s="23">
        <v>60</v>
      </c>
      <c r="J20" s="42">
        <f>H20/21.75</f>
        <v>32.505747126436781</v>
      </c>
      <c r="K20" s="42">
        <f>I20/(3*54)</f>
        <v>0.37037037037037035</v>
      </c>
      <c r="L20" s="42">
        <f>J20/178</f>
        <v>0.18261655689009426</v>
      </c>
      <c r="M20" s="78"/>
      <c r="N20" s="78"/>
      <c r="O20" s="89"/>
      <c r="P20" s="89"/>
      <c r="Q20" s="89"/>
      <c r="R20" s="89"/>
      <c r="S20" s="89"/>
      <c r="T20" s="89"/>
      <c r="U20" s="38" t="s">
        <v>101</v>
      </c>
    </row>
    <row r="21" spans="1:21" s="41" customFormat="1">
      <c r="A21" s="23" t="s">
        <v>39</v>
      </c>
      <c r="B21" s="14" t="s">
        <v>38</v>
      </c>
      <c r="C21" s="14" t="s">
        <v>25</v>
      </c>
      <c r="D21" s="25" t="s">
        <v>70</v>
      </c>
      <c r="E21" s="16"/>
      <c r="F21" s="23">
        <f>727+439</f>
        <v>1166</v>
      </c>
      <c r="G21" s="23" t="s">
        <v>42</v>
      </c>
      <c r="H21" s="23" t="s">
        <v>42</v>
      </c>
      <c r="I21" s="23" t="s">
        <v>42</v>
      </c>
      <c r="J21" s="26" t="s">
        <v>42</v>
      </c>
      <c r="K21" s="26" t="s">
        <v>42</v>
      </c>
      <c r="L21" s="26" t="s">
        <v>42</v>
      </c>
      <c r="M21" s="78"/>
      <c r="N21" s="78"/>
      <c r="O21" s="89"/>
      <c r="P21" s="89"/>
      <c r="Q21" s="89"/>
      <c r="R21" s="89"/>
      <c r="S21" s="89"/>
      <c r="T21" s="89"/>
      <c r="U21" s="37" t="s">
        <v>42</v>
      </c>
    </row>
    <row r="22" spans="1:21" s="41" customFormat="1">
      <c r="A22" s="14" t="s">
        <v>39</v>
      </c>
      <c r="B22" s="14" t="s">
        <v>38</v>
      </c>
      <c r="C22" s="14" t="s">
        <v>25</v>
      </c>
      <c r="D22" s="25" t="s">
        <v>40</v>
      </c>
      <c r="E22" s="16">
        <v>25720</v>
      </c>
      <c r="F22" s="23">
        <f>0+38</f>
        <v>38</v>
      </c>
      <c r="G22" s="23" t="s">
        <v>42</v>
      </c>
      <c r="H22" s="23" t="s">
        <v>42</v>
      </c>
      <c r="I22" s="23" t="s">
        <v>42</v>
      </c>
      <c r="J22" s="42" t="s">
        <v>42</v>
      </c>
      <c r="K22" s="42" t="s">
        <v>42</v>
      </c>
      <c r="L22" s="42" t="s">
        <v>42</v>
      </c>
      <c r="M22" s="78"/>
      <c r="N22" s="78"/>
      <c r="O22" s="89"/>
      <c r="P22" s="89"/>
      <c r="Q22" s="89"/>
      <c r="R22" s="89"/>
      <c r="S22" s="89"/>
      <c r="T22" s="89"/>
      <c r="U22" s="37" t="s">
        <v>42</v>
      </c>
    </row>
    <row r="23" spans="1:21" s="41" customFormat="1">
      <c r="A23" s="23" t="s">
        <v>37</v>
      </c>
      <c r="B23" s="14" t="s">
        <v>38</v>
      </c>
      <c r="C23" s="14" t="s">
        <v>25</v>
      </c>
      <c r="D23" s="25" t="s">
        <v>44</v>
      </c>
      <c r="E23" s="16"/>
      <c r="F23" s="23">
        <f>0+734+723+923+889+504+833+406</f>
        <v>5012</v>
      </c>
      <c r="G23" s="23" t="s">
        <v>42</v>
      </c>
      <c r="H23" s="23" t="s">
        <v>42</v>
      </c>
      <c r="I23" s="23" t="s">
        <v>42</v>
      </c>
      <c r="J23" s="42" t="s">
        <v>42</v>
      </c>
      <c r="K23" s="42" t="s">
        <v>42</v>
      </c>
      <c r="L23" s="42" t="s">
        <v>42</v>
      </c>
      <c r="M23" s="78"/>
      <c r="N23" s="78"/>
      <c r="O23" s="89"/>
      <c r="P23" s="89"/>
      <c r="Q23" s="89"/>
      <c r="R23" s="89"/>
      <c r="S23" s="89"/>
      <c r="T23" s="89"/>
      <c r="U23" s="37" t="s">
        <v>42</v>
      </c>
    </row>
    <row r="24" spans="1:21" s="41" customFormat="1">
      <c r="A24" s="23" t="s">
        <v>39</v>
      </c>
      <c r="B24" s="14" t="s">
        <v>38</v>
      </c>
      <c r="C24" s="14" t="s">
        <v>25</v>
      </c>
      <c r="D24" s="25" t="s">
        <v>82</v>
      </c>
      <c r="E24" s="8"/>
      <c r="F24" s="23">
        <f>28+611+1118+1013+1242+1203+1390+998+1038+1239+471+1398+1111+1434+924+1222+990</f>
        <v>17430</v>
      </c>
      <c r="G24" s="23" t="s">
        <v>42</v>
      </c>
      <c r="H24" s="23" t="s">
        <v>42</v>
      </c>
      <c r="I24" s="23" t="s">
        <v>42</v>
      </c>
      <c r="J24" s="42" t="s">
        <v>42</v>
      </c>
      <c r="K24" s="42" t="s">
        <v>42</v>
      </c>
      <c r="L24" s="42" t="s">
        <v>42</v>
      </c>
      <c r="M24" s="78"/>
      <c r="N24" s="78"/>
      <c r="O24" s="89"/>
      <c r="P24" s="89"/>
      <c r="Q24" s="89"/>
      <c r="R24" s="89"/>
      <c r="S24" s="89"/>
      <c r="T24" s="89"/>
      <c r="U24" s="38" t="s">
        <v>42</v>
      </c>
    </row>
    <row r="25" spans="1:21" s="41" customFormat="1">
      <c r="A25" s="23" t="s">
        <v>39</v>
      </c>
      <c r="B25" s="14" t="s">
        <v>38</v>
      </c>
      <c r="C25" s="14" t="s">
        <v>25</v>
      </c>
      <c r="D25" s="25" t="s">
        <v>87</v>
      </c>
      <c r="E25" s="8"/>
      <c r="F25" s="23">
        <f>0+990</f>
        <v>990</v>
      </c>
      <c r="G25" s="23" t="s">
        <v>42</v>
      </c>
      <c r="H25" s="23" t="s">
        <v>42</v>
      </c>
      <c r="I25" s="23" t="s">
        <v>42</v>
      </c>
      <c r="J25" s="42" t="s">
        <v>42</v>
      </c>
      <c r="K25" s="42" t="s">
        <v>42</v>
      </c>
      <c r="L25" s="42" t="s">
        <v>42</v>
      </c>
      <c r="M25" s="78"/>
      <c r="N25" s="78"/>
      <c r="O25" s="89"/>
      <c r="P25" s="89"/>
      <c r="Q25" s="89"/>
      <c r="R25" s="89"/>
      <c r="S25" s="89"/>
      <c r="T25" s="89"/>
      <c r="U25" s="38" t="s">
        <v>42</v>
      </c>
    </row>
    <row r="26" spans="1:21" s="41" customFormat="1">
      <c r="A26" s="23" t="s">
        <v>39</v>
      </c>
      <c r="B26" s="14" t="s">
        <v>38</v>
      </c>
      <c r="C26" s="14" t="s">
        <v>25</v>
      </c>
      <c r="D26" s="25" t="s">
        <v>90</v>
      </c>
      <c r="E26" s="8"/>
      <c r="F26" s="23">
        <f>0+397+1030+528</f>
        <v>1955</v>
      </c>
      <c r="G26" s="23">
        <v>528</v>
      </c>
      <c r="H26" s="23">
        <v>528</v>
      </c>
      <c r="I26" s="23">
        <v>100</v>
      </c>
      <c r="J26" s="42">
        <f>H26/21.75</f>
        <v>24.275862068965516</v>
      </c>
      <c r="K26" s="42">
        <f>I26/(3*54)</f>
        <v>0.61728395061728392</v>
      </c>
      <c r="L26" s="42">
        <f>J26/167</f>
        <v>0.14536444352673961</v>
      </c>
      <c r="M26" s="76"/>
      <c r="N26" s="78"/>
      <c r="O26" s="89"/>
      <c r="P26" s="89"/>
      <c r="Q26" s="90"/>
      <c r="R26" s="90"/>
      <c r="S26" s="89"/>
      <c r="T26" s="89"/>
      <c r="U26" s="21" t="s">
        <v>102</v>
      </c>
    </row>
    <row r="27" spans="1:21" s="41" customFormat="1">
      <c r="A27" s="23" t="s">
        <v>91</v>
      </c>
      <c r="B27" s="7" t="s">
        <v>38</v>
      </c>
      <c r="C27" s="14" t="s">
        <v>25</v>
      </c>
      <c r="D27" s="9" t="s">
        <v>41</v>
      </c>
      <c r="E27" s="8"/>
      <c r="F27" s="23">
        <v>0</v>
      </c>
      <c r="G27" s="20" t="s">
        <v>42</v>
      </c>
      <c r="H27" s="20" t="s">
        <v>42</v>
      </c>
      <c r="I27" s="20" t="s">
        <v>42</v>
      </c>
      <c r="J27" s="20" t="s">
        <v>42</v>
      </c>
      <c r="K27" s="20" t="s">
        <v>42</v>
      </c>
      <c r="L27" s="20" t="s">
        <v>42</v>
      </c>
      <c r="M27" s="21" t="e">
        <v>#N/A</v>
      </c>
      <c r="N27" s="21" t="e">
        <v>#N/A</v>
      </c>
      <c r="O27" s="21" t="e">
        <v>#N/A</v>
      </c>
      <c r="P27" s="21" t="e">
        <v>#N/A</v>
      </c>
      <c r="Q27" s="21" t="e">
        <v>#N/A</v>
      </c>
      <c r="R27" s="21" t="e">
        <v>#N/A</v>
      </c>
      <c r="S27" s="21" t="e">
        <v>#N/A</v>
      </c>
      <c r="T27" s="21" t="e">
        <v>#N/A</v>
      </c>
      <c r="U27" s="21" t="s">
        <v>42</v>
      </c>
    </row>
    <row r="28" spans="1:21" s="41" customFormat="1">
      <c r="A28" s="23" t="s">
        <v>45</v>
      </c>
      <c r="B28" s="14" t="s">
        <v>38</v>
      </c>
      <c r="C28" s="14" t="s">
        <v>28</v>
      </c>
      <c r="D28" s="25" t="s">
        <v>73</v>
      </c>
      <c r="E28" s="24">
        <v>37404</v>
      </c>
      <c r="F28" s="23">
        <f>2048+2008+2183+1903+1828+1563+1266+1889+1823+2103+1297+0+10+39+168+5+803+993+738+9</f>
        <v>22676</v>
      </c>
      <c r="G28" s="20">
        <v>9</v>
      </c>
      <c r="H28" s="20">
        <v>9</v>
      </c>
      <c r="I28" s="23">
        <v>90</v>
      </c>
      <c r="J28" s="42">
        <f>H28/14.5</f>
        <v>0.62068965517241381</v>
      </c>
      <c r="K28" s="42">
        <f>I28/(3*54)</f>
        <v>0.55555555555555558</v>
      </c>
      <c r="L28" s="42">
        <f>J28/85</f>
        <v>7.3022312373225151E-3</v>
      </c>
      <c r="M28" s="91">
        <v>36054.230000000003</v>
      </c>
      <c r="N28" s="94">
        <v>3.5999999999999999E-3</v>
      </c>
      <c r="O28" s="79">
        <v>2772416.67</v>
      </c>
      <c r="P28" s="94">
        <v>2.0999999999999999E-3</v>
      </c>
      <c r="Q28" s="96">
        <v>8</v>
      </c>
      <c r="R28" s="96">
        <v>4</v>
      </c>
      <c r="S28" s="79">
        <v>13.57</v>
      </c>
      <c r="T28" s="79">
        <v>3.33</v>
      </c>
      <c r="U28" s="60" t="s">
        <v>103</v>
      </c>
    </row>
    <row r="29" spans="1:21" s="41" customFormat="1">
      <c r="A29" s="23" t="s">
        <v>45</v>
      </c>
      <c r="B29" s="14" t="s">
        <v>38</v>
      </c>
      <c r="C29" s="14" t="s">
        <v>28</v>
      </c>
      <c r="D29" s="25" t="s">
        <v>75</v>
      </c>
      <c r="E29" s="20"/>
      <c r="F29" s="23">
        <f>0+163+811+541+887+527+209</f>
        <v>3138</v>
      </c>
      <c r="G29" s="23" t="s">
        <v>42</v>
      </c>
      <c r="H29" s="23" t="s">
        <v>42</v>
      </c>
      <c r="I29" s="23" t="s">
        <v>42</v>
      </c>
      <c r="J29" s="42" t="s">
        <v>42</v>
      </c>
      <c r="K29" s="42" t="s">
        <v>42</v>
      </c>
      <c r="L29" s="42" t="s">
        <v>42</v>
      </c>
      <c r="M29" s="89"/>
      <c r="N29" s="78"/>
      <c r="O29" s="78"/>
      <c r="P29" s="78"/>
      <c r="Q29" s="78"/>
      <c r="R29" s="78"/>
      <c r="S29" s="78"/>
      <c r="T29" s="78"/>
      <c r="U29" s="21" t="s">
        <v>42</v>
      </c>
    </row>
    <row r="30" spans="1:21" s="41" customFormat="1" ht="39">
      <c r="A30" s="23" t="s">
        <v>45</v>
      </c>
      <c r="B30" s="16" t="s">
        <v>38</v>
      </c>
      <c r="C30" s="23" t="s">
        <v>28</v>
      </c>
      <c r="D30" s="25" t="s">
        <v>46</v>
      </c>
      <c r="E30" s="20"/>
      <c r="F30" s="23">
        <f>0</f>
        <v>0</v>
      </c>
      <c r="G30" s="23">
        <v>300</v>
      </c>
      <c r="H30" s="23">
        <v>274</v>
      </c>
      <c r="I30" s="23">
        <v>90</v>
      </c>
      <c r="J30" s="42">
        <f>H30/21.75</f>
        <v>12.597701149425287</v>
      </c>
      <c r="K30" s="42">
        <f>I30/(3*54)</f>
        <v>0.55555555555555558</v>
      </c>
      <c r="L30" s="42">
        <f>J30/131</f>
        <v>9.6165657629200665E-2</v>
      </c>
      <c r="M30" s="89"/>
      <c r="N30" s="78"/>
      <c r="O30" s="78"/>
      <c r="P30" s="78"/>
      <c r="Q30" s="78"/>
      <c r="R30" s="78"/>
      <c r="S30" s="78"/>
      <c r="T30" s="78"/>
      <c r="U30" s="60" t="s">
        <v>104</v>
      </c>
    </row>
    <row r="31" spans="1:21" s="41" customFormat="1">
      <c r="A31" s="23" t="s">
        <v>43</v>
      </c>
      <c r="B31" s="16" t="s">
        <v>38</v>
      </c>
      <c r="C31" s="23" t="s">
        <v>28</v>
      </c>
      <c r="D31" s="25" t="s">
        <v>48</v>
      </c>
      <c r="E31" s="20"/>
      <c r="F31" s="23">
        <f>7824+864+39+5688</f>
        <v>14415</v>
      </c>
      <c r="G31" s="20" t="s">
        <v>42</v>
      </c>
      <c r="H31" s="20" t="s">
        <v>42</v>
      </c>
      <c r="I31" s="20" t="s">
        <v>42</v>
      </c>
      <c r="J31" s="20" t="s">
        <v>42</v>
      </c>
      <c r="K31" s="20" t="s">
        <v>42</v>
      </c>
      <c r="L31" s="20" t="s">
        <v>42</v>
      </c>
      <c r="M31" s="89"/>
      <c r="N31" s="78"/>
      <c r="O31" s="78"/>
      <c r="P31" s="78"/>
      <c r="Q31" s="78"/>
      <c r="R31" s="78"/>
      <c r="S31" s="78"/>
      <c r="T31" s="78"/>
      <c r="U31" s="21" t="s">
        <v>42</v>
      </c>
    </row>
    <row r="32" spans="1:21" s="41" customFormat="1">
      <c r="A32" s="23" t="s">
        <v>43</v>
      </c>
      <c r="B32" s="16" t="s">
        <v>38</v>
      </c>
      <c r="C32" s="23" t="s">
        <v>28</v>
      </c>
      <c r="D32" s="25" t="s">
        <v>74</v>
      </c>
      <c r="E32" s="20"/>
      <c r="F32" s="23">
        <f>0+547+1513+1570+1502+1546+1409+819+284+902+1373+1075+1083+764</f>
        <v>14387</v>
      </c>
      <c r="G32" s="23" t="s">
        <v>42</v>
      </c>
      <c r="H32" s="23" t="s">
        <v>42</v>
      </c>
      <c r="I32" s="23" t="s">
        <v>42</v>
      </c>
      <c r="J32" s="42" t="s">
        <v>42</v>
      </c>
      <c r="K32" s="42" t="s">
        <v>42</v>
      </c>
      <c r="L32" s="42" t="s">
        <v>42</v>
      </c>
      <c r="M32" s="89"/>
      <c r="N32" s="78"/>
      <c r="O32" s="76"/>
      <c r="P32" s="76"/>
      <c r="Q32" s="76"/>
      <c r="R32" s="76"/>
      <c r="S32" s="76"/>
      <c r="T32" s="76"/>
      <c r="U32" s="21" t="s">
        <v>42</v>
      </c>
    </row>
    <row r="33" spans="1:39" s="41" customFormat="1">
      <c r="A33" s="92" t="s">
        <v>34</v>
      </c>
      <c r="B33" s="86"/>
      <c r="C33" s="86"/>
      <c r="D33" s="84"/>
      <c r="E33" s="10">
        <f>SUM(E19:E31)</f>
        <v>84734</v>
      </c>
      <c r="F33" s="10">
        <f t="shared" ref="F33:L33" si="2">SUM(F19:F32)</f>
        <v>93744</v>
      </c>
      <c r="G33" s="10">
        <f t="shared" si="2"/>
        <v>1587</v>
      </c>
      <c r="H33" s="10">
        <f t="shared" si="2"/>
        <v>1518</v>
      </c>
      <c r="I33" s="10">
        <f t="shared" si="2"/>
        <v>340</v>
      </c>
      <c r="J33" s="54">
        <f t="shared" si="2"/>
        <v>70</v>
      </c>
      <c r="K33" s="54">
        <f t="shared" si="2"/>
        <v>2.0987654320987654</v>
      </c>
      <c r="L33" s="54">
        <f t="shared" si="2"/>
        <v>0.43144888928335706</v>
      </c>
      <c r="M33" s="17">
        <f t="shared" ref="M33:T33" si="3">SUM(M28)</f>
        <v>36054.230000000003</v>
      </c>
      <c r="N33" s="17">
        <f t="shared" si="3"/>
        <v>3.5999999999999999E-3</v>
      </c>
      <c r="O33" s="17">
        <f t="shared" si="3"/>
        <v>2772416.67</v>
      </c>
      <c r="P33" s="17">
        <f t="shared" si="3"/>
        <v>2.0999999999999999E-3</v>
      </c>
      <c r="Q33" s="17">
        <f t="shared" si="3"/>
        <v>8</v>
      </c>
      <c r="R33" s="17">
        <f t="shared" si="3"/>
        <v>4</v>
      </c>
      <c r="S33" s="17">
        <f t="shared" si="3"/>
        <v>13.57</v>
      </c>
      <c r="T33" s="17">
        <f t="shared" si="3"/>
        <v>3.33</v>
      </c>
      <c r="U33" s="10"/>
    </row>
    <row r="34" spans="1:39" s="41" customFormat="1">
      <c r="Q34" s="30"/>
    </row>
    <row r="35" spans="1:39" s="41" customFormat="1">
      <c r="Q35" s="30"/>
    </row>
    <row r="36" spans="1:39" s="41" customFormat="1">
      <c r="A36" s="27"/>
      <c r="B36" s="27"/>
      <c r="C36" s="27"/>
      <c r="D36" s="27" t="s">
        <v>17</v>
      </c>
      <c r="E36" s="27" t="s">
        <v>18</v>
      </c>
      <c r="F36" s="27" t="s">
        <v>19</v>
      </c>
      <c r="G36" s="27" t="s">
        <v>18</v>
      </c>
      <c r="H36" s="27" t="s">
        <v>20</v>
      </c>
      <c r="I36" s="28" t="s">
        <v>18</v>
      </c>
      <c r="J36" s="29" t="s">
        <v>49</v>
      </c>
      <c r="K36" s="29" t="s">
        <v>50</v>
      </c>
      <c r="L36" s="29" t="s">
        <v>51</v>
      </c>
      <c r="M36" s="29" t="s">
        <v>52</v>
      </c>
      <c r="N36" s="29" t="s">
        <v>59</v>
      </c>
      <c r="O36" s="29" t="s">
        <v>60</v>
      </c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</row>
    <row r="37" spans="1:39" s="41" customFormat="1">
      <c r="A37" s="33" t="s">
        <v>53</v>
      </c>
      <c r="B37" s="14" t="s">
        <v>24</v>
      </c>
      <c r="C37" s="55" t="s">
        <v>26</v>
      </c>
      <c r="D37" s="31">
        <v>238</v>
      </c>
      <c r="E37" s="31">
        <v>238</v>
      </c>
      <c r="F37" s="43">
        <v>60</v>
      </c>
      <c r="G37" s="52">
        <f>E37/4</f>
        <v>59.5</v>
      </c>
      <c r="H37" s="44">
        <f t="shared" ref="H37:H38" si="4">F37/(3*69)</f>
        <v>0.28985507246376813</v>
      </c>
      <c r="I37" s="44">
        <f t="shared" ref="I37:I38" si="5">G37/206</f>
        <v>0.28883495145631066</v>
      </c>
      <c r="J37" s="53" t="s">
        <v>105</v>
      </c>
      <c r="K37" s="64"/>
      <c r="L37" s="65"/>
      <c r="M37" s="33"/>
      <c r="N37" s="33"/>
      <c r="O37" s="66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</row>
    <row r="38" spans="1:39" s="41" customFormat="1">
      <c r="A38" s="33" t="s">
        <v>53</v>
      </c>
      <c r="B38" s="14" t="s">
        <v>24</v>
      </c>
      <c r="C38" s="55" t="s">
        <v>95</v>
      </c>
      <c r="D38" s="31">
        <v>160</v>
      </c>
      <c r="E38" s="31">
        <v>160</v>
      </c>
      <c r="F38" s="43">
        <v>70</v>
      </c>
      <c r="G38" s="52">
        <f>E38/3</f>
        <v>53.333333333333336</v>
      </c>
      <c r="H38" s="44">
        <f t="shared" si="4"/>
        <v>0.33816425120772947</v>
      </c>
      <c r="I38" s="44">
        <f t="shared" si="5"/>
        <v>0.25889967637540456</v>
      </c>
      <c r="J38" s="53" t="s">
        <v>105</v>
      </c>
      <c r="K38" s="33"/>
      <c r="L38" s="66"/>
      <c r="M38" s="33"/>
      <c r="N38" s="33"/>
      <c r="O38" s="66"/>
      <c r="P38" s="30"/>
      <c r="Q38" s="67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2"/>
      <c r="AL38" s="30"/>
      <c r="AM38" s="30"/>
    </row>
    <row r="39" spans="1:39" s="41" customFormat="1">
      <c r="A39" s="33" t="s">
        <v>69</v>
      </c>
      <c r="B39" s="14" t="s">
        <v>24</v>
      </c>
      <c r="C39" s="55" t="s">
        <v>66</v>
      </c>
      <c r="D39" s="31">
        <v>55</v>
      </c>
      <c r="E39" s="31">
        <v>55</v>
      </c>
      <c r="F39" s="43">
        <v>100</v>
      </c>
      <c r="G39" s="52">
        <f>E39/1</f>
        <v>55</v>
      </c>
      <c r="H39" s="44">
        <f t="shared" ref="H39:H40" si="6">F39/(3*76)</f>
        <v>0.43859649122807015</v>
      </c>
      <c r="I39" s="44">
        <f>G39/207</f>
        <v>0.26570048309178745</v>
      </c>
      <c r="J39" s="53" t="s">
        <v>105</v>
      </c>
      <c r="K39" s="33"/>
      <c r="L39" s="66"/>
      <c r="M39" s="33"/>
      <c r="N39" s="33"/>
      <c r="O39" s="66"/>
      <c r="P39" s="30"/>
      <c r="Q39" s="62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2"/>
      <c r="AL39" s="30"/>
      <c r="AM39" s="30"/>
    </row>
    <row r="40" spans="1:39" s="41" customFormat="1">
      <c r="A40" s="33" t="s">
        <v>62</v>
      </c>
      <c r="B40" s="14" t="s">
        <v>24</v>
      </c>
      <c r="C40" s="55" t="s">
        <v>77</v>
      </c>
      <c r="D40" s="31">
        <v>180</v>
      </c>
      <c r="E40" s="31">
        <v>180</v>
      </c>
      <c r="F40" s="43">
        <v>100</v>
      </c>
      <c r="G40" s="52">
        <f>E40/2</f>
        <v>90</v>
      </c>
      <c r="H40" s="44">
        <f t="shared" si="6"/>
        <v>0.43859649122807015</v>
      </c>
      <c r="I40" s="44">
        <f>G40/206</f>
        <v>0.43689320388349512</v>
      </c>
      <c r="J40" s="53" t="s">
        <v>105</v>
      </c>
      <c r="K40" s="33"/>
      <c r="L40" s="66"/>
      <c r="M40" s="33"/>
      <c r="N40" s="33"/>
      <c r="O40" s="66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</row>
    <row r="41" spans="1:39" s="41" customFormat="1" ht="32.25" customHeight="1">
      <c r="A41" s="33" t="s">
        <v>54</v>
      </c>
      <c r="B41" s="14" t="s">
        <v>24</v>
      </c>
      <c r="C41" s="55" t="s">
        <v>88</v>
      </c>
      <c r="D41" s="58">
        <v>1100</v>
      </c>
      <c r="E41" s="31">
        <v>1041</v>
      </c>
      <c r="F41" s="43">
        <v>100</v>
      </c>
      <c r="G41" s="52">
        <f>E41/11</f>
        <v>94.63636363636364</v>
      </c>
      <c r="H41" s="44">
        <f t="shared" ref="H41:H42" si="7">F41/(3*75)</f>
        <v>0.44444444444444442</v>
      </c>
      <c r="I41" s="44">
        <f>G41/192</f>
        <v>0.49289772727272729</v>
      </c>
      <c r="J41" s="57" t="s">
        <v>99</v>
      </c>
      <c r="K41" s="64" t="s">
        <v>106</v>
      </c>
      <c r="L41" s="65"/>
      <c r="M41" s="33" t="s">
        <v>107</v>
      </c>
      <c r="N41" s="33" t="s">
        <v>108</v>
      </c>
      <c r="O41" s="66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</row>
    <row r="42" spans="1:39" s="41" customFormat="1">
      <c r="A42" s="33" t="s">
        <v>55</v>
      </c>
      <c r="B42" s="14" t="s">
        <v>24</v>
      </c>
      <c r="C42" s="55" t="s">
        <v>78</v>
      </c>
      <c r="D42" s="31">
        <v>1200</v>
      </c>
      <c r="E42" s="31">
        <v>1259</v>
      </c>
      <c r="F42" s="43">
        <v>100</v>
      </c>
      <c r="G42" s="52">
        <f>E42/13</f>
        <v>96.84615384615384</v>
      </c>
      <c r="H42" s="44">
        <f t="shared" si="7"/>
        <v>0.44444444444444442</v>
      </c>
      <c r="I42" s="44">
        <f>G42/190</f>
        <v>0.50971659919028334</v>
      </c>
      <c r="J42" s="53" t="s">
        <v>85</v>
      </c>
      <c r="K42" s="64"/>
      <c r="L42" s="65"/>
      <c r="M42" s="33"/>
      <c r="N42" s="33"/>
      <c r="O42" s="66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</row>
    <row r="43" spans="1:39" s="41" customFormat="1">
      <c r="A43" s="33" t="s">
        <v>71</v>
      </c>
      <c r="B43" s="14" t="s">
        <v>24</v>
      </c>
      <c r="C43" s="55" t="s">
        <v>31</v>
      </c>
      <c r="D43" s="31">
        <v>0</v>
      </c>
      <c r="E43" s="31">
        <v>0</v>
      </c>
      <c r="F43" s="33">
        <v>30</v>
      </c>
      <c r="G43" s="43" t="e">
        <f t="shared" ref="G43:G44" si="8">E43/0</f>
        <v>#DIV/0!</v>
      </c>
      <c r="H43" s="44">
        <f t="shared" ref="H43:H44" si="9">F43/59</f>
        <v>0.50847457627118642</v>
      </c>
      <c r="I43" s="44" t="e">
        <f>G43/49</f>
        <v>#DIV/0!</v>
      </c>
      <c r="J43" s="57" t="s">
        <v>42</v>
      </c>
      <c r="K43" s="68"/>
      <c r="L43" s="68"/>
      <c r="M43" s="66"/>
      <c r="N43" s="66"/>
      <c r="O43" s="66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2"/>
      <c r="AL43" s="30"/>
      <c r="AM43" s="30"/>
    </row>
    <row r="44" spans="1:39" s="41" customFormat="1">
      <c r="A44" s="33" t="s">
        <v>72</v>
      </c>
      <c r="B44" s="14" t="s">
        <v>24</v>
      </c>
      <c r="C44" s="55" t="s">
        <v>33</v>
      </c>
      <c r="D44" s="31">
        <v>0</v>
      </c>
      <c r="E44" s="31">
        <v>0</v>
      </c>
      <c r="F44" s="33">
        <v>30</v>
      </c>
      <c r="G44" s="52" t="e">
        <f t="shared" si="8"/>
        <v>#DIV/0!</v>
      </c>
      <c r="H44" s="44">
        <f t="shared" si="9"/>
        <v>0.50847457627118642</v>
      </c>
      <c r="I44" s="44" t="e">
        <f>G44/22</f>
        <v>#DIV/0!</v>
      </c>
      <c r="J44" s="69" t="s">
        <v>35</v>
      </c>
      <c r="K44" s="68"/>
      <c r="L44" s="68"/>
      <c r="M44" s="66"/>
      <c r="N44" s="66"/>
      <c r="O44" s="66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2"/>
      <c r="AL44" s="30"/>
      <c r="AM44" s="30"/>
    </row>
    <row r="45" spans="1:39" s="41" customFormat="1">
      <c r="A45" s="33"/>
      <c r="B45" s="23" t="s">
        <v>38</v>
      </c>
      <c r="C45" s="55" t="s">
        <v>80</v>
      </c>
      <c r="D45" s="31" t="s">
        <v>42</v>
      </c>
      <c r="E45" s="31" t="s">
        <v>42</v>
      </c>
      <c r="F45" s="33" t="s">
        <v>42</v>
      </c>
      <c r="G45" s="35" t="s">
        <v>42</v>
      </c>
      <c r="H45" s="35" t="s">
        <v>42</v>
      </c>
      <c r="I45" s="35" t="s">
        <v>42</v>
      </c>
      <c r="J45" s="70" t="s">
        <v>35</v>
      </c>
      <c r="K45" s="63"/>
      <c r="L45" s="63"/>
      <c r="M45" s="71"/>
      <c r="N45" s="71"/>
      <c r="O45" s="66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</row>
    <row r="46" spans="1:39" s="41" customFormat="1" ht="38.25">
      <c r="A46" s="33" t="s">
        <v>56</v>
      </c>
      <c r="B46" s="23" t="s">
        <v>38</v>
      </c>
      <c r="C46" s="55" t="s">
        <v>47</v>
      </c>
      <c r="D46" s="31">
        <v>750</v>
      </c>
      <c r="E46" s="31">
        <v>707</v>
      </c>
      <c r="F46" s="23">
        <v>60</v>
      </c>
      <c r="G46" s="26">
        <f>E46/21.75</f>
        <v>32.505747126436781</v>
      </c>
      <c r="H46" s="26">
        <f>F46/(3*54)</f>
        <v>0.37037037037037035</v>
      </c>
      <c r="I46" s="26">
        <f>G46/178</f>
        <v>0.18261655689009426</v>
      </c>
      <c r="J46" s="56" t="s">
        <v>101</v>
      </c>
      <c r="K46" s="56" t="s">
        <v>109</v>
      </c>
      <c r="L46" s="56" t="s">
        <v>109</v>
      </c>
      <c r="M46" s="56" t="s">
        <v>110</v>
      </c>
      <c r="N46" s="56" t="s">
        <v>111</v>
      </c>
      <c r="O46" s="66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</row>
    <row r="47" spans="1:39" s="41" customFormat="1" ht="29.25" customHeight="1">
      <c r="A47" s="33" t="s">
        <v>57</v>
      </c>
      <c r="B47" s="23" t="s">
        <v>38</v>
      </c>
      <c r="C47" s="55" t="s">
        <v>40</v>
      </c>
      <c r="D47" s="31" t="s">
        <v>42</v>
      </c>
      <c r="E47" s="31" t="s">
        <v>42</v>
      </c>
      <c r="F47" s="23" t="s">
        <v>42</v>
      </c>
      <c r="G47" s="26" t="s">
        <v>42</v>
      </c>
      <c r="H47" s="26" t="s">
        <v>42</v>
      </c>
      <c r="I47" s="26" t="s">
        <v>42</v>
      </c>
      <c r="J47" s="63"/>
      <c r="K47" s="63"/>
      <c r="L47" s="63"/>
      <c r="M47" s="63"/>
      <c r="N47" s="63"/>
      <c r="O47" s="66"/>
      <c r="P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</row>
    <row r="48" spans="1:39" s="41" customFormat="1" ht="35.25" customHeight="1">
      <c r="A48" s="33" t="s">
        <v>57</v>
      </c>
      <c r="B48" s="23" t="s">
        <v>38</v>
      </c>
      <c r="C48" s="55" t="s">
        <v>70</v>
      </c>
      <c r="D48" s="31" t="s">
        <v>42</v>
      </c>
      <c r="E48" s="31" t="s">
        <v>42</v>
      </c>
      <c r="F48" s="23" t="s">
        <v>42</v>
      </c>
      <c r="G48" s="26" t="s">
        <v>42</v>
      </c>
      <c r="H48" s="26" t="s">
        <v>42</v>
      </c>
      <c r="I48" s="26" t="s">
        <v>42</v>
      </c>
      <c r="J48" s="39"/>
      <c r="K48" s="63"/>
      <c r="L48" s="63"/>
      <c r="M48" s="63"/>
      <c r="N48" s="63"/>
      <c r="O48" s="66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</row>
    <row r="49" spans="1:39" s="41" customFormat="1">
      <c r="A49" s="33" t="s">
        <v>56</v>
      </c>
      <c r="B49" s="23" t="s">
        <v>38</v>
      </c>
      <c r="C49" s="55" t="s">
        <v>44</v>
      </c>
      <c r="D49" s="31" t="s">
        <v>42</v>
      </c>
      <c r="E49" s="31" t="s">
        <v>42</v>
      </c>
      <c r="F49" s="23" t="s">
        <v>42</v>
      </c>
      <c r="G49" s="26" t="s">
        <v>42</v>
      </c>
      <c r="H49" s="26" t="s">
        <v>42</v>
      </c>
      <c r="I49" s="26" t="s">
        <v>42</v>
      </c>
      <c r="J49" s="63"/>
      <c r="K49" s="63"/>
      <c r="L49" s="63"/>
      <c r="M49" s="63"/>
      <c r="N49" s="63"/>
      <c r="O49" s="66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</row>
    <row r="50" spans="1:39" s="41" customFormat="1">
      <c r="A50" s="33" t="s">
        <v>81</v>
      </c>
      <c r="B50" s="23" t="s">
        <v>38</v>
      </c>
      <c r="C50" s="55" t="s">
        <v>83</v>
      </c>
      <c r="D50" s="31" t="s">
        <v>42</v>
      </c>
      <c r="E50" s="31" t="s">
        <v>42</v>
      </c>
      <c r="F50" s="23" t="s">
        <v>42</v>
      </c>
      <c r="G50" s="26" t="s">
        <v>42</v>
      </c>
      <c r="H50" s="26" t="s">
        <v>42</v>
      </c>
      <c r="I50" s="26" t="s">
        <v>42</v>
      </c>
      <c r="J50" s="63"/>
      <c r="K50" s="63"/>
      <c r="L50" s="63"/>
      <c r="M50" s="63"/>
      <c r="N50" s="63"/>
      <c r="O50" s="66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</row>
    <row r="51" spans="1:39" s="41" customFormat="1" ht="30.75" customHeight="1">
      <c r="A51" s="33" t="s">
        <v>81</v>
      </c>
      <c r="B51" s="23" t="s">
        <v>38</v>
      </c>
      <c r="C51" s="55" t="s">
        <v>87</v>
      </c>
      <c r="D51" s="31" t="s">
        <v>42</v>
      </c>
      <c r="E51" s="31" t="s">
        <v>42</v>
      </c>
      <c r="F51" s="23" t="s">
        <v>42</v>
      </c>
      <c r="G51" s="26" t="s">
        <v>42</v>
      </c>
      <c r="H51" s="26" t="s">
        <v>42</v>
      </c>
      <c r="I51" s="26" t="s">
        <v>42</v>
      </c>
      <c r="J51" s="36"/>
      <c r="K51" s="63"/>
      <c r="L51" s="63"/>
      <c r="M51" s="36"/>
      <c r="N51" s="36"/>
      <c r="O51" s="66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</row>
    <row r="52" spans="1:39" s="41" customFormat="1" ht="34.5" customHeight="1">
      <c r="A52" s="33" t="s">
        <v>81</v>
      </c>
      <c r="B52" s="23" t="s">
        <v>38</v>
      </c>
      <c r="C52" s="55" t="s">
        <v>90</v>
      </c>
      <c r="D52" s="31">
        <v>528</v>
      </c>
      <c r="E52" s="31">
        <v>528</v>
      </c>
      <c r="F52" s="23">
        <v>100</v>
      </c>
      <c r="G52" s="26">
        <f>E52/21.75</f>
        <v>24.275862068965516</v>
      </c>
      <c r="H52" s="26">
        <f t="shared" ref="H52:H53" si="10">F52/(3*54)</f>
        <v>0.61728395061728392</v>
      </c>
      <c r="I52" s="26">
        <f>G52/131</f>
        <v>0.18531192419057646</v>
      </c>
      <c r="J52" s="36" t="s">
        <v>102</v>
      </c>
      <c r="K52" s="74" t="s">
        <v>86</v>
      </c>
      <c r="L52" s="74" t="s">
        <v>86</v>
      </c>
      <c r="M52" s="36" t="s">
        <v>89</v>
      </c>
      <c r="N52" s="36" t="s">
        <v>89</v>
      </c>
      <c r="O52" s="66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</row>
    <row r="53" spans="1:39" s="41" customFormat="1" ht="21.75" customHeight="1">
      <c r="A53" s="33" t="s">
        <v>58</v>
      </c>
      <c r="B53" s="23" t="s">
        <v>38</v>
      </c>
      <c r="C53" s="55" t="s">
        <v>64</v>
      </c>
      <c r="D53" s="31">
        <v>9</v>
      </c>
      <c r="E53" s="31">
        <v>9</v>
      </c>
      <c r="F53" s="23">
        <v>90</v>
      </c>
      <c r="G53" s="26">
        <f>E53/14.5</f>
        <v>0.62068965517241381</v>
      </c>
      <c r="H53" s="26">
        <f t="shared" si="10"/>
        <v>0.55555555555555558</v>
      </c>
      <c r="I53" s="26">
        <f>G53/85</f>
        <v>7.3022312373225151E-3</v>
      </c>
      <c r="J53" s="61" t="s">
        <v>103</v>
      </c>
      <c r="K53" s="36" t="s">
        <v>92</v>
      </c>
      <c r="L53" s="36" t="s">
        <v>92</v>
      </c>
      <c r="M53" s="36" t="s">
        <v>93</v>
      </c>
      <c r="N53" s="36" t="s">
        <v>93</v>
      </c>
      <c r="O53" s="66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</row>
    <row r="54" spans="1:39" s="41" customFormat="1">
      <c r="A54" s="33" t="s">
        <v>58</v>
      </c>
      <c r="B54" s="23" t="s">
        <v>38</v>
      </c>
      <c r="C54" s="55" t="s">
        <v>76</v>
      </c>
      <c r="D54" s="31" t="s">
        <v>42</v>
      </c>
      <c r="E54" s="31" t="s">
        <v>42</v>
      </c>
      <c r="F54" s="23" t="s">
        <v>42</v>
      </c>
      <c r="G54" s="26" t="s">
        <v>42</v>
      </c>
      <c r="H54" s="26" t="s">
        <v>42</v>
      </c>
      <c r="I54" s="26" t="s">
        <v>42</v>
      </c>
      <c r="J54" s="71"/>
      <c r="K54" s="63"/>
      <c r="L54" s="63"/>
      <c r="M54" s="71"/>
      <c r="N54" s="71"/>
      <c r="O54" s="66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</row>
    <row r="55" spans="1:39" s="41" customFormat="1" ht="38.25">
      <c r="A55" s="33" t="s">
        <v>63</v>
      </c>
      <c r="B55" s="23" t="s">
        <v>38</v>
      </c>
      <c r="C55" s="55" t="s">
        <v>46</v>
      </c>
      <c r="D55" s="31">
        <v>300</v>
      </c>
      <c r="E55" s="31">
        <v>274</v>
      </c>
      <c r="F55" s="23">
        <v>90</v>
      </c>
      <c r="G55" s="26">
        <f>E55/21.75</f>
        <v>12.597701149425287</v>
      </c>
      <c r="H55" s="26">
        <f>F55/(3*54)</f>
        <v>0.55555555555555558</v>
      </c>
      <c r="I55" s="26">
        <f>G55/131</f>
        <v>9.6165657629200665E-2</v>
      </c>
      <c r="J55" s="34" t="s">
        <v>104</v>
      </c>
      <c r="K55" s="56" t="s">
        <v>109</v>
      </c>
      <c r="L55" s="56" t="s">
        <v>109</v>
      </c>
      <c r="M55" s="59" t="s">
        <v>112</v>
      </c>
      <c r="N55" s="59" t="s">
        <v>113</v>
      </c>
      <c r="O55" s="66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</row>
    <row r="56" spans="1:39" s="41" customFormat="1">
      <c r="A56" s="33" t="s">
        <v>63</v>
      </c>
      <c r="B56" s="23" t="s">
        <v>38</v>
      </c>
      <c r="C56" s="55" t="s">
        <v>48</v>
      </c>
      <c r="D56" s="31" t="s">
        <v>42</v>
      </c>
      <c r="E56" s="31" t="s">
        <v>42</v>
      </c>
      <c r="F56" s="23" t="s">
        <v>42</v>
      </c>
      <c r="G56" s="26" t="s">
        <v>42</v>
      </c>
      <c r="H56" s="26" t="s">
        <v>42</v>
      </c>
      <c r="I56" s="26" t="s">
        <v>42</v>
      </c>
      <c r="J56" s="72"/>
      <c r="K56" s="63"/>
      <c r="L56" s="63"/>
      <c r="M56" s="34"/>
      <c r="N56" s="34"/>
      <c r="O56" s="66"/>
    </row>
    <row r="57" spans="1:39" s="41" customFormat="1">
      <c r="A57" s="33" t="s">
        <v>63</v>
      </c>
      <c r="B57" s="23" t="s">
        <v>38</v>
      </c>
      <c r="C57" s="40" t="s">
        <v>74</v>
      </c>
      <c r="D57" s="31" t="s">
        <v>42</v>
      </c>
      <c r="E57" s="31" t="s">
        <v>42</v>
      </c>
      <c r="F57" s="23" t="s">
        <v>42</v>
      </c>
      <c r="G57" s="26" t="s">
        <v>42</v>
      </c>
      <c r="H57" s="26" t="s">
        <v>42</v>
      </c>
      <c r="I57" s="26" t="s">
        <v>42</v>
      </c>
      <c r="J57" s="73"/>
      <c r="K57" s="63"/>
      <c r="L57" s="63"/>
      <c r="M57" s="73"/>
      <c r="N57" s="73"/>
      <c r="O57" s="40"/>
    </row>
    <row r="58" spans="1:39" s="41" customFormat="1" ht="15.75" customHeight="1"/>
  </sheetData>
  <mergeCells count="56">
    <mergeCell ref="R28:R32"/>
    <mergeCell ref="S28:S32"/>
    <mergeCell ref="T28:T32"/>
    <mergeCell ref="A33:D33"/>
    <mergeCell ref="M28:M32"/>
    <mergeCell ref="N28:N32"/>
    <mergeCell ref="O28:O32"/>
    <mergeCell ref="P28:P32"/>
    <mergeCell ref="Q28:Q32"/>
    <mergeCell ref="R19:R26"/>
    <mergeCell ref="S19:S26"/>
    <mergeCell ref="T19:T26"/>
    <mergeCell ref="A14:D14"/>
    <mergeCell ref="A17:A18"/>
    <mergeCell ref="B17:B18"/>
    <mergeCell ref="C17:C18"/>
    <mergeCell ref="D17:D18"/>
    <mergeCell ref="M19:M26"/>
    <mergeCell ref="N19:N26"/>
    <mergeCell ref="O19:O26"/>
    <mergeCell ref="P19:P26"/>
    <mergeCell ref="Q19:Q26"/>
    <mergeCell ref="G17:H17"/>
    <mergeCell ref="I17:J17"/>
    <mergeCell ref="K17:L17"/>
    <mergeCell ref="M17:N17"/>
    <mergeCell ref="O17:P17"/>
    <mergeCell ref="E17:F17"/>
    <mergeCell ref="A1:F1"/>
    <mergeCell ref="A4:A5"/>
    <mergeCell ref="B4:B5"/>
    <mergeCell ref="C4:C5"/>
    <mergeCell ref="D4:D5"/>
    <mergeCell ref="E4:F4"/>
    <mergeCell ref="E7:E9"/>
    <mergeCell ref="T4:T5"/>
    <mergeCell ref="N7:N9"/>
    <mergeCell ref="O7:O9"/>
    <mergeCell ref="P7:P9"/>
    <mergeCell ref="U17:U18"/>
    <mergeCell ref="U4:U5"/>
    <mergeCell ref="M4:N4"/>
    <mergeCell ref="O4:P4"/>
    <mergeCell ref="Q4:Q5"/>
    <mergeCell ref="Q17:Q18"/>
    <mergeCell ref="R17:R18"/>
    <mergeCell ref="S17:S18"/>
    <mergeCell ref="T17:T18"/>
    <mergeCell ref="E10:E11"/>
    <mergeCell ref="F7:F9"/>
    <mergeCell ref="M7:M9"/>
    <mergeCell ref="R4:R5"/>
    <mergeCell ref="S4:S5"/>
    <mergeCell ref="G4:H4"/>
    <mergeCell ref="I4:J4"/>
    <mergeCell ref="K4:L4"/>
  </mergeCells>
  <hyperlinks>
    <hyperlink ref="U6" r:id="rId1" display="_x000a__x000a_1. NB Model Running_x000a_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29.09.2026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2026-10-19T10:01:59Z</dcterms:modified>
</cp:coreProperties>
</file>
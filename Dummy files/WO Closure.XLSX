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GT11219\Desktop\WO AGAING SUMMARY\Sep\"/>
    </mc:Choice>
  </mc:AlternateContent>
  <bookViews>
    <workbookView xWindow="0" yWindow="0" windowWidth="21855" windowHeight="14940" firstSheet="1" activeTab="1"/>
  </bookViews>
  <sheets>
    <sheet name="Sheet1" sheetId="1" state="hidden" r:id="rId1"/>
    <sheet name="Summary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ZA12">[1]생산전망!$A$2</definedName>
    <definedName name="__ZA12">[1]생산전망!$A$2</definedName>
    <definedName name="_xlnm._FilterDatabase" localSheetId="0" hidden="1">Sheet1!$A$1:$AD$221</definedName>
    <definedName name="_xlnm._FilterDatabase" hidden="1">#REF!</definedName>
    <definedName name="_Order2" hidden="1">255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ll">'[2]96월경계 (2)'!$A$13:$W$67,'[2]96월경계 (2)'!$A$70:$W$124,'[2]96월경계 (2)'!$A$127:$W$181,'[2]96월경계 (2)'!$A$183:$W$237,'[2]96월경계 (2)'!$A$240:$W$294,'[2]96월경계 (2)'!$A$300:$W$354,'[2]96월경계 (2)'!$A$357:$W$411,'[2]96월경계 (2)'!$Z$13:$AV$67,'[2]96월경계 (2)'!$Z$70:$AV$124,'[2]96월경계 (2)'!$AX$13:$BT$67,'[2]96월경계 (2)'!$AX$70:$BT$124,'[2]96월경계 (2)'!$AX$127:$BT$181,'[2]96월경계 (2)'!$BX$13:$CT$67,'[2]96월경계 (2)'!$BX$70:$CT$124,'[2]96월경계 (2)'!$BX$127:$CT$181,'[2]96월경계 (2)'!$BX$183:$CT$237,'[2]96월경계 (2)'!$CY$13:$DU$67</definedName>
    <definedName name="_xlnm.Criteria">#REF!</definedName>
    <definedName name="_xlnm.Database">#REF!</definedName>
    <definedName name="_xlnm.Extract">[3]전사집계!#REF!</definedName>
    <definedName name="HTML_CodePage" hidden="1">949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_xlnm.Print_Area">#REF!</definedName>
    <definedName name="_xlnm.Print_Titles">#REF!</definedName>
    <definedName name="Print_Titles_MI">'[4]97물량'!$A$1:$E$65536</definedName>
    <definedName name="Query2">[5]core_소요량!$A$1:$G$1915</definedName>
    <definedName name="TICO0">[1]생산전망!$A$1</definedName>
    <definedName name="TICO1">[1]생산전망!$A$2</definedName>
    <definedName name="누실경복리">'[6]실DATA '!$R$105:$AC$105</definedName>
    <definedName name="누실경소모">'[6]실DATA '!$R$115:$AC$115</definedName>
    <definedName name="누실경수도">'[6]실DATA '!$R$110:$AC$110</definedName>
    <definedName name="누실경연료">'[6]실DATA '!$R$108:$AC$108</definedName>
    <definedName name="누실경전력">'[6]실DATA '!$R$109:$AC$109</definedName>
    <definedName name="누실경타계">'[6]실DATA '!$R$130:$AC$130</definedName>
    <definedName name="누실경포장">'[6]실DATA '!$R$103:$AC$103</definedName>
    <definedName name="누실경합">'[6]실DATA '!$R$129:$AC$129</definedName>
    <definedName name="누실노총합">'[6]실DATA '!$R$96:$AC$96</definedName>
    <definedName name="누실노타계">'[6]실DATA '!$R$97:$AC$97</definedName>
    <definedName name="누실매총합">'[6]실DATA '!$R$46:$AC$46</definedName>
    <definedName name="누실수익">'[6]실DATA '!$R$145:$AC$145</definedName>
    <definedName name="다음1">[7]!다음1</definedName>
    <definedName name="단가">[8]단가!$A$3:$H$376</definedName>
    <definedName name="반도잉여">[9]잉여금!$AK$2:$AZ$16,[9]잉여금!$T$2:$AI$16,[9]잉여금!$C$2:$R$16</definedName>
    <definedName name="삼월">[10]수불명세서!$A$4:$Q$413</definedName>
    <definedName name="수출판촉비총괄" hidden="1">#N/A</definedName>
    <definedName name="이월">[11]수불명세서!$A$4:$Q$295</definedName>
    <definedName name="이전">[7]!이전</definedName>
    <definedName name="일월">[12]수불명세서!$A$4:$P$289</definedName>
    <definedName name="일차상">'[13]1차상'!$B$8:$F$43</definedName>
    <definedName name="자재송부용">[7]!자재송부용</definedName>
    <definedName name="정1차">[14]정1차!$B$8:$E$27</definedName>
    <definedName name="정2차">[14]정2차!$B$8:$E$27</definedName>
    <definedName name="정3차">[14]정3차!$B$8:$E$27</definedName>
    <definedName name="정4차">[14]정4차!$B$8:$E$27</definedName>
    <definedName name="정5차">[14]정5차!$B$8:$E$27</definedName>
    <definedName name="정6차">[14]정6차!$B$8:$E$27</definedName>
    <definedName name="정7차">[14]정7차!$B$8:$E$27</definedName>
    <definedName name="정8차">[14]정8차!$B$8:$E$27</definedName>
    <definedName name="정9차">[14]정9차!$B$8:$E$27</definedName>
    <definedName name="주요모델특기">[7]!주요모델특기</definedName>
    <definedName name="채권1">[15]매출채권!$B$26:$P$46,[15]매출채권!$B$54:$P$74</definedName>
    <definedName name="채권2">[15]매출채권!$B$26:$P$45,[15]매출채권!$B$54:$P$73</definedName>
    <definedName name="초기화면">[7]!초기화면</definedName>
    <definedName name="ㅎㅎㅎ">[7]!ㅎㅎㅎ</definedName>
  </definedNames>
  <calcPr calcId="162913"/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16" i="2" s="1"/>
  <c r="G9" i="2"/>
  <c r="G10" i="2"/>
  <c r="G11" i="2"/>
  <c r="G12" i="2"/>
  <c r="G13" i="2"/>
  <c r="G17" i="2" s="1"/>
  <c r="G14" i="2"/>
  <c r="G15" i="2"/>
  <c r="D16" i="2"/>
  <c r="E16" i="2"/>
  <c r="F16" i="2"/>
  <c r="D17" i="2"/>
  <c r="E17" i="2"/>
  <c r="F17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" i="1"/>
</calcChain>
</file>

<file path=xl/sharedStrings.xml><?xml version="1.0" encoding="utf-8"?>
<sst xmlns="http://schemas.openxmlformats.org/spreadsheetml/2006/main" count="3373" uniqueCount="1103">
  <si>
    <t/>
  </si>
  <si>
    <t>3014</t>
  </si>
  <si>
    <t>PGT10459</t>
  </si>
  <si>
    <t>MB14</t>
  </si>
  <si>
    <t>3SAI</t>
  </si>
  <si>
    <t>DB14</t>
  </si>
  <si>
    <t>P17869-301</t>
  </si>
  <si>
    <t>ASSY FIX Board OF14 INDIA</t>
  </si>
  <si>
    <t>P17868-301</t>
  </si>
  <si>
    <t>ASSY IO Board OF14 INDIA</t>
  </si>
  <si>
    <t>3BTO</t>
  </si>
  <si>
    <t>ZP</t>
  </si>
  <si>
    <t>P02587-301</t>
  </si>
  <si>
    <t>SSA MBDUMAU7155UWUXGA300wBLw5MPIRALUTIPD</t>
  </si>
  <si>
    <t>BU PON 440 G9 P 23.8 AiO TS RCTO IN PMA1</t>
  </si>
  <si>
    <t>P03781-301</t>
  </si>
  <si>
    <t>SSA MBD IN PCA SMT</t>
  </si>
  <si>
    <t>M82790-301</t>
  </si>
  <si>
    <t>PCA, OSD Board,ProOneG9</t>
  </si>
  <si>
    <t>M82791-301</t>
  </si>
  <si>
    <t>PCA, Side Audio Board,ProOneG9</t>
  </si>
  <si>
    <t>N22604-301</t>
  </si>
  <si>
    <t>PCA, Side TypeC TypeA Board,AIO24</t>
  </si>
  <si>
    <t>3IFG</t>
  </si>
  <si>
    <t>3CTO</t>
  </si>
  <si>
    <t>3FS4</t>
  </si>
  <si>
    <t>A0BC6AV</t>
  </si>
  <si>
    <t>PGT11219</t>
  </si>
  <si>
    <t>P23871-301</t>
  </si>
  <si>
    <t>SSA, MBDBU RCTOUMAC5120UFHDwFHDCALUPMA</t>
  </si>
  <si>
    <t>P41130-301</t>
  </si>
  <si>
    <t>ASSY USB Daughter Board RA6U INDIA</t>
  </si>
  <si>
    <t>P23873-301</t>
  </si>
  <si>
    <t>SSA, MBDBU RCTOUMAC7150UFHDwFHDCALUPMA</t>
  </si>
  <si>
    <t>INII</t>
  </si>
  <si>
    <t>HP ProOne 440 G9 AiO i314100 8GB/512GBPC</t>
  </si>
  <si>
    <t>P74310-301</t>
  </si>
  <si>
    <t>ASSY IO Board AMD PDT WOWWAN TOPA2R</t>
  </si>
  <si>
    <t>P64526-301</t>
  </si>
  <si>
    <t>SSA MBD UMA R5230 4 14 G1a INDIA PMA1</t>
  </si>
  <si>
    <t>P88109-301</t>
  </si>
  <si>
    <t>SSA MBDUMAU5135UWUXGA300wBLf5MPCamIRPLAT</t>
  </si>
  <si>
    <t>HP 240RG10 7-150U 14 16GB/512 PC</t>
  </si>
  <si>
    <t>HP 240RG10 5-120U 14 8GB/512 PC</t>
  </si>
  <si>
    <t>D2BY6AT#ACJ</t>
  </si>
  <si>
    <t>P79864-301</t>
  </si>
  <si>
    <t>SSA MBD SmolderUARL-S IN PCA SMT JM24</t>
  </si>
  <si>
    <t>P31170-301</t>
  </si>
  <si>
    <t>ASSY, PCA,Bunny,PWR button Board,IND</t>
  </si>
  <si>
    <t>CA7T7AV</t>
  </si>
  <si>
    <t>BU ProStudio 4 G1i23.8AiONT65WRCTOINPMA1</t>
  </si>
  <si>
    <t>D32FDAT#ACJ</t>
  </si>
  <si>
    <t>HP PB440G11 U7-155U 14 24GB/512 PC</t>
  </si>
  <si>
    <t>REL  MSPT CNF  DLV  PRC  CSER BCRQ GMPS*</t>
  </si>
  <si>
    <t>REL  MSPT CNF  DLV  PRC  BCRQ GMPS OPGN*</t>
  </si>
  <si>
    <t>HP ProOne 440 G9 AiOi514500T16GB/512GBPC</t>
  </si>
  <si>
    <t>P97590-301</t>
  </si>
  <si>
    <t>SSA BU RCTO UMA Core3100U AI6U INDIAPMA1</t>
  </si>
  <si>
    <t>P97591-301</t>
  </si>
  <si>
    <t>SSA BU RCTO UMA Core5120U AI6U INDIAPMA1</t>
  </si>
  <si>
    <t>P97593-301</t>
  </si>
  <si>
    <t>SSA BU RCTO UMA Core7150U AI6U INDIAPMA1</t>
  </si>
  <si>
    <t>REL  MSPT PRC  BCRQ GMPS OPGN SETC</t>
  </si>
  <si>
    <t>DX8Z8PC#ACJ</t>
  </si>
  <si>
    <t>HP ProStudio 4 AiO G1i U523516GB/512GBPC</t>
  </si>
  <si>
    <t>DQ9F2AT#ACJ</t>
  </si>
  <si>
    <t>HP PB440G11 U5-135U 14 16GB/512 PC</t>
  </si>
  <si>
    <t>PGT11488</t>
  </si>
  <si>
    <t>DQ9E9AT#ACJ</t>
  </si>
  <si>
    <t>DQ9F0AT#ACJ</t>
  </si>
  <si>
    <t>P97914-301</t>
  </si>
  <si>
    <t>SSA BU RCTO UMA R5 40 8GB AA6U INDIAPMA1</t>
  </si>
  <si>
    <t>P97913-301</t>
  </si>
  <si>
    <t>SSA BU RCTOUMA R5 40 16GB AA6U INDIAPMA1</t>
  </si>
  <si>
    <t>HP PB4G1a14AI R5-230 14 16GB/512 PC</t>
  </si>
  <si>
    <t>P88247-301</t>
  </si>
  <si>
    <t>SSA MBD UMA U5322 4 14 G2i INDIA PMA1</t>
  </si>
  <si>
    <t>Q19807-301</t>
  </si>
  <si>
    <t>ASSY FIX Board Ricotta14 IN RCTO</t>
  </si>
  <si>
    <t>Q19808-301</t>
  </si>
  <si>
    <t>ASSY IO Board INTEL PDT WOWAN TOPA1R IN</t>
  </si>
  <si>
    <t>P88248-301</t>
  </si>
  <si>
    <t>SSA MBD UMA U5325 4 14 G2i INDIA PMA1</t>
  </si>
  <si>
    <t>P88249-301</t>
  </si>
  <si>
    <t>SSA MBD UMA U5336H 4 14 G2i INDIA PMA1</t>
  </si>
  <si>
    <t>P88250-301</t>
  </si>
  <si>
    <t>SSA MBD UMA U7355 4 14 G2i INDIA PMA1</t>
  </si>
  <si>
    <t>P97917-301</t>
  </si>
  <si>
    <t>SSA BU RCTO UMA R7250 AA6U INDIA PMA1</t>
  </si>
  <si>
    <t>REL  MSPT PCNF DLV  PRC  BCRQ GMPS OPGN*</t>
  </si>
  <si>
    <t>REL  MSPT PCNF DLV  PRC  CSER BCRQ GMPS*</t>
  </si>
  <si>
    <t>E2KD4AT#ACJ</t>
  </si>
  <si>
    <t>HP ProOne 440 G9 AiO i513500 8GB/512GBPC</t>
  </si>
  <si>
    <t>E30LYPA#ACJ</t>
  </si>
  <si>
    <t>HP Laptop 15-fd1652TU</t>
  </si>
  <si>
    <t>E52PQPA#ACJ</t>
  </si>
  <si>
    <t>HP Laptop 15-fd1668TU</t>
  </si>
  <si>
    <t>E52PWPA#ACJ</t>
  </si>
  <si>
    <t>HP Laptop 15-fd1654TU</t>
  </si>
  <si>
    <t>E52PYPA#ACJ</t>
  </si>
  <si>
    <t>HP Laptop 15-fd1669TU</t>
  </si>
  <si>
    <t>2000385372</t>
  </si>
  <si>
    <t>301400004651</t>
  </si>
  <si>
    <t>10023245</t>
  </si>
  <si>
    <t>13.08.2026 09:27:50</t>
  </si>
  <si>
    <t>2000385371</t>
  </si>
  <si>
    <t>301400004652</t>
  </si>
  <si>
    <t>10023252</t>
  </si>
  <si>
    <t>13.08.2026 09:28:25</t>
  </si>
  <si>
    <t>2000385373</t>
  </si>
  <si>
    <t>301400004653</t>
  </si>
  <si>
    <t>10023263</t>
  </si>
  <si>
    <t>13.08.2026 09:28:51</t>
  </si>
  <si>
    <t>2000385359</t>
  </si>
  <si>
    <t>301400004663</t>
  </si>
  <si>
    <t>10024731</t>
  </si>
  <si>
    <t>13.08.2026 16:32:55</t>
  </si>
  <si>
    <t>2000385361</t>
  </si>
  <si>
    <t>301400004664</t>
  </si>
  <si>
    <t>10024738</t>
  </si>
  <si>
    <t>13.08.2026 16:33:16</t>
  </si>
  <si>
    <t>2000385364</t>
  </si>
  <si>
    <t>301400004665</t>
  </si>
  <si>
    <t>10024742</t>
  </si>
  <si>
    <t>13.08.2026 16:35:14</t>
  </si>
  <si>
    <t>2000385379</t>
  </si>
  <si>
    <t>301400004668</t>
  </si>
  <si>
    <t>10024792</t>
  </si>
  <si>
    <t>13.08.2026 16:37:11</t>
  </si>
  <si>
    <t>2000385377</t>
  </si>
  <si>
    <t>301400004669</t>
  </si>
  <si>
    <t>10024802</t>
  </si>
  <si>
    <t>13.08.2026 16:37:28</t>
  </si>
  <si>
    <t>2000385378</t>
  </si>
  <si>
    <t>301400004670</t>
  </si>
  <si>
    <t>10024808</t>
  </si>
  <si>
    <t>13.08.2026 16:38:02</t>
  </si>
  <si>
    <t>2000388273</t>
  </si>
  <si>
    <t>301400004671</t>
  </si>
  <si>
    <t>10025810</t>
  </si>
  <si>
    <t>13.08.2026 16:39:26</t>
  </si>
  <si>
    <t>2000388274</t>
  </si>
  <si>
    <t>301400004672</t>
  </si>
  <si>
    <t>10025813</t>
  </si>
  <si>
    <t>13.08.2026 16:39:46</t>
  </si>
  <si>
    <t>2000388276</t>
  </si>
  <si>
    <t>301400004673</t>
  </si>
  <si>
    <t>10025818</t>
  </si>
  <si>
    <t>13.08.2026 16:40:08</t>
  </si>
  <si>
    <t>2000388275</t>
  </si>
  <si>
    <t>301400004674</t>
  </si>
  <si>
    <t>10025842</t>
  </si>
  <si>
    <t>13.08.2026 16:41:35</t>
  </si>
  <si>
    <t>REL  MSPT PRC  CSER BCRQ GMPS OPGN SETC</t>
  </si>
  <si>
    <t>E56SDPT#ACJ</t>
  </si>
  <si>
    <t>HP ProOne 440 G9 AiO i51350016GB/256GBPC</t>
  </si>
  <si>
    <t>2000409212</t>
  </si>
  <si>
    <t>301400004901</t>
  </si>
  <si>
    <t>P92587-301</t>
  </si>
  <si>
    <t>SSA MBD BU RCTOUMARAI5430414G2aINDIAPMA1</t>
  </si>
  <si>
    <t>REL  MSPT PRC  BCRQ OPGN SETC</t>
  </si>
  <si>
    <t>10109808</t>
  </si>
  <si>
    <t>28.09.2026 13:01:37</t>
  </si>
  <si>
    <t>2000409203</t>
  </si>
  <si>
    <t>301400004902</t>
  </si>
  <si>
    <t>Q22863-301</t>
  </si>
  <si>
    <t>ASSY, IO/B Parmesan14 AMD PDT WOWWAN IN</t>
  </si>
  <si>
    <t>REL  MSPT PCNF PRC  BCRQ GMPS OPGN PDLV*</t>
  </si>
  <si>
    <t>10109816</t>
  </si>
  <si>
    <t>22.08.2026 17:44:25</t>
  </si>
  <si>
    <t>E4QF9PT#ACJ</t>
  </si>
  <si>
    <t>2000409713</t>
  </si>
  <si>
    <t>301400004977</t>
  </si>
  <si>
    <t>10148421</t>
  </si>
  <si>
    <t>28.09.2026 13:09:48</t>
  </si>
  <si>
    <t>2000409719</t>
  </si>
  <si>
    <t>301400004978</t>
  </si>
  <si>
    <t>10148458</t>
  </si>
  <si>
    <t>27.08.2026 12:08:51</t>
  </si>
  <si>
    <t>2000409209</t>
  </si>
  <si>
    <t>301400004979</t>
  </si>
  <si>
    <t>P92588-301</t>
  </si>
  <si>
    <t>SSA MBD BU RCTOUMARAI5435414G2aINDIAPMA1</t>
  </si>
  <si>
    <t>10148526</t>
  </si>
  <si>
    <t>27.08.2026 13:54:13</t>
  </si>
  <si>
    <t>2000409206</t>
  </si>
  <si>
    <t>301400004980</t>
  </si>
  <si>
    <t>10148563</t>
  </si>
  <si>
    <t>27.08.2026 13:54:41</t>
  </si>
  <si>
    <t>2000409214</t>
  </si>
  <si>
    <t>301400004981</t>
  </si>
  <si>
    <t>P92589-301</t>
  </si>
  <si>
    <t>SSA MBD BU RCTOUMARAI7445414G2aINDIAPMA1</t>
  </si>
  <si>
    <t>10148584</t>
  </si>
  <si>
    <t>27.08.2026 13:55:47</t>
  </si>
  <si>
    <t>2000409216</t>
  </si>
  <si>
    <t>301400004982</t>
  </si>
  <si>
    <t>10148626</t>
  </si>
  <si>
    <t>27.08.2026 13:56:09</t>
  </si>
  <si>
    <t>2000409219</t>
  </si>
  <si>
    <t>301400005046</t>
  </si>
  <si>
    <t>P92590-301</t>
  </si>
  <si>
    <t>SSA MBD BU RCTOUMARAI7450414G2aINDIAPMA1</t>
  </si>
  <si>
    <t>10183391</t>
  </si>
  <si>
    <t>31.08.2026 21:11:29</t>
  </si>
  <si>
    <t>2000409218</t>
  </si>
  <si>
    <t>301400005047</t>
  </si>
  <si>
    <t>10183396</t>
  </si>
  <si>
    <t>31.08.2026 21:12:12</t>
  </si>
  <si>
    <t>2000414689</t>
  </si>
  <si>
    <t>301400005089</t>
  </si>
  <si>
    <t>10207180</t>
  </si>
  <si>
    <t>02.09.2026 18:08:46</t>
  </si>
  <si>
    <t>2000409204</t>
  </si>
  <si>
    <t>301400005130</t>
  </si>
  <si>
    <t>10217536</t>
  </si>
  <si>
    <t>28.09.2026 13:12:32</t>
  </si>
  <si>
    <t>2000409207</t>
  </si>
  <si>
    <t>301400005131</t>
  </si>
  <si>
    <t>10217545</t>
  </si>
  <si>
    <t>03.09.2026 20:34:32</t>
  </si>
  <si>
    <t>2000409222</t>
  </si>
  <si>
    <t>301400005132</t>
  </si>
  <si>
    <t>10217643</t>
  </si>
  <si>
    <t>03.09.2026 21:40:32</t>
  </si>
  <si>
    <t>2000409223</t>
  </si>
  <si>
    <t>301400005133</t>
  </si>
  <si>
    <t>10217646</t>
  </si>
  <si>
    <t>03.09.2026 21:41:05</t>
  </si>
  <si>
    <t>REL  MSPT PRC  CSER BCRQ OPGN SETC</t>
  </si>
  <si>
    <t>2000409205</t>
  </si>
  <si>
    <t>301400005138</t>
  </si>
  <si>
    <t>10218766</t>
  </si>
  <si>
    <t>28.09.2026 13:13:28</t>
  </si>
  <si>
    <t>2000409210</t>
  </si>
  <si>
    <t>301400005139</t>
  </si>
  <si>
    <t>10218770</t>
  </si>
  <si>
    <t>04.09.2026 10:26:06</t>
  </si>
  <si>
    <t>2000409211</t>
  </si>
  <si>
    <t>301400005140</t>
  </si>
  <si>
    <t>10218773</t>
  </si>
  <si>
    <t>04.09.2026 11:22:28</t>
  </si>
  <si>
    <t>2000409208</t>
  </si>
  <si>
    <t>301400005141</t>
  </si>
  <si>
    <t>10218781</t>
  </si>
  <si>
    <t>04.09.2026 11:23:32</t>
  </si>
  <si>
    <t>2000409215</t>
  </si>
  <si>
    <t>301400005142</t>
  </si>
  <si>
    <t>10218783</t>
  </si>
  <si>
    <t>04.09.2026 11:27:12</t>
  </si>
  <si>
    <t>2000409226</t>
  </si>
  <si>
    <t>301400005143</t>
  </si>
  <si>
    <t>10218793</t>
  </si>
  <si>
    <t>04.09.2026 11:28:08</t>
  </si>
  <si>
    <t>2000409213</t>
  </si>
  <si>
    <t>301400005144</t>
  </si>
  <si>
    <t>10218796</t>
  </si>
  <si>
    <t>04.09.2026 11:33:42</t>
  </si>
  <si>
    <t>2000409220</t>
  </si>
  <si>
    <t>301400005145</t>
  </si>
  <si>
    <t>10218811</t>
  </si>
  <si>
    <t>04.09.2026 11:39:37</t>
  </si>
  <si>
    <t>2000409225</t>
  </si>
  <si>
    <t>301400005146</t>
  </si>
  <si>
    <t>10218813</t>
  </si>
  <si>
    <t>04.09.2026 11:41:14</t>
  </si>
  <si>
    <t>2000409217</t>
  </si>
  <si>
    <t>301400005147</t>
  </si>
  <si>
    <t>10218819</t>
  </si>
  <si>
    <t>04.09.2026 11:41:54</t>
  </si>
  <si>
    <t>2000409221</t>
  </si>
  <si>
    <t>301400005148</t>
  </si>
  <si>
    <t>10218843</t>
  </si>
  <si>
    <t>04.09.2026 11:45:22</t>
  </si>
  <si>
    <t>2000409224</t>
  </si>
  <si>
    <t>301400005149</t>
  </si>
  <si>
    <t>10218851</t>
  </si>
  <si>
    <t>04.09.2026 12:02:41</t>
  </si>
  <si>
    <t>2000415048</t>
  </si>
  <si>
    <t>301400005150</t>
  </si>
  <si>
    <t>REL  CNF  DLV  PRC  CSER BCRQ GMPS MACM*</t>
  </si>
  <si>
    <t>10218897</t>
  </si>
  <si>
    <t>22.09.2026 10:45:18</t>
  </si>
  <si>
    <t>2000414692</t>
  </si>
  <si>
    <t>301400005165</t>
  </si>
  <si>
    <t>10230523</t>
  </si>
  <si>
    <t>05.09.2026 11:47:26</t>
  </si>
  <si>
    <t>2000415338</t>
  </si>
  <si>
    <t>301400005188</t>
  </si>
  <si>
    <t>10238814</t>
  </si>
  <si>
    <t>07.09.2026 15:29:13</t>
  </si>
  <si>
    <t>2000415341</t>
  </si>
  <si>
    <t>301400005189</t>
  </si>
  <si>
    <t>10238829</t>
  </si>
  <si>
    <t>07.09.2026 15:29:38</t>
  </si>
  <si>
    <t>2000415337</t>
  </si>
  <si>
    <t>301400005190</t>
  </si>
  <si>
    <t>10238833</t>
  </si>
  <si>
    <t>07.09.2026 15:30:51</t>
  </si>
  <si>
    <t>2000415347</t>
  </si>
  <si>
    <t>301400005191</t>
  </si>
  <si>
    <t>10238865</t>
  </si>
  <si>
    <t>07.09.2026 15:31:11</t>
  </si>
  <si>
    <t>2000415339</t>
  </si>
  <si>
    <t>301400005192</t>
  </si>
  <si>
    <t>10238867</t>
  </si>
  <si>
    <t>07.09.2026 15:32:16</t>
  </si>
  <si>
    <t>2000415348</t>
  </si>
  <si>
    <t>301400005193</t>
  </si>
  <si>
    <t>10238874</t>
  </si>
  <si>
    <t>07.09.2026 15:32:40</t>
  </si>
  <si>
    <t>2000415340</t>
  </si>
  <si>
    <t>301400005194</t>
  </si>
  <si>
    <t>10238878</t>
  </si>
  <si>
    <t>07.09.2026 15:33:44</t>
  </si>
  <si>
    <t>2000415349</t>
  </si>
  <si>
    <t>301400005195</t>
  </si>
  <si>
    <t>10238885</t>
  </si>
  <si>
    <t>07.09.2026 15:34:01</t>
  </si>
  <si>
    <t>2000416485</t>
  </si>
  <si>
    <t>301400005332</t>
  </si>
  <si>
    <t>10290960</t>
  </si>
  <si>
    <t>12.09.2026 12:18:32</t>
  </si>
  <si>
    <t>2000416484</t>
  </si>
  <si>
    <t>301400005333</t>
  </si>
  <si>
    <t>10290995</t>
  </si>
  <si>
    <t>12.09.2026 12:19:18</t>
  </si>
  <si>
    <t>2000414699</t>
  </si>
  <si>
    <t>301400005403</t>
  </si>
  <si>
    <t>10302528</t>
  </si>
  <si>
    <t>14.09.2026 11:55:14</t>
  </si>
  <si>
    <t>2000414700</t>
  </si>
  <si>
    <t>301400005404</t>
  </si>
  <si>
    <t>10302564</t>
  </si>
  <si>
    <t>14.09.2026 14:09:31</t>
  </si>
  <si>
    <t>2000414702</t>
  </si>
  <si>
    <t>301400005405</t>
  </si>
  <si>
    <t>10305350</t>
  </si>
  <si>
    <t>17.09.2026 20:03:25</t>
  </si>
  <si>
    <t>2000414703</t>
  </si>
  <si>
    <t>301400005406</t>
  </si>
  <si>
    <t>10305581</t>
  </si>
  <si>
    <t>17.09.2026 20:12:29</t>
  </si>
  <si>
    <t>2000414704</t>
  </si>
  <si>
    <t>301400005407</t>
  </si>
  <si>
    <t>10305689</t>
  </si>
  <si>
    <t>17.09.2026 20:21:53</t>
  </si>
  <si>
    <t>2000416490</t>
  </si>
  <si>
    <t>301400005408</t>
  </si>
  <si>
    <t>10305795</t>
  </si>
  <si>
    <t>14.09.2026 15:09:10</t>
  </si>
  <si>
    <t>2000416488</t>
  </si>
  <si>
    <t>301400005409</t>
  </si>
  <si>
    <t>10305826</t>
  </si>
  <si>
    <t>14.09.2026 15:10:36</t>
  </si>
  <si>
    <t>2000418150</t>
  </si>
  <si>
    <t>301400005468</t>
  </si>
  <si>
    <t>10321402</t>
  </si>
  <si>
    <t>16.09.2026 10:46:47</t>
  </si>
  <si>
    <t>2000418149</t>
  </si>
  <si>
    <t>301400005469</t>
  </si>
  <si>
    <t>10321464</t>
  </si>
  <si>
    <t>16.09.2026 10:48:44</t>
  </si>
  <si>
    <t>2000418152</t>
  </si>
  <si>
    <t>301400005470</t>
  </si>
  <si>
    <t>10321482</t>
  </si>
  <si>
    <t>16.09.2026 10:50:58</t>
  </si>
  <si>
    <t>2000418151</t>
  </si>
  <si>
    <t>301400005471</t>
  </si>
  <si>
    <t>10321522</t>
  </si>
  <si>
    <t>16.09.2026 10:53:34</t>
  </si>
  <si>
    <t>2000418153</t>
  </si>
  <si>
    <t>301400005472</t>
  </si>
  <si>
    <t>10321568</t>
  </si>
  <si>
    <t>16.09.2026 10:58:25</t>
  </si>
  <si>
    <t>2000404696</t>
  </si>
  <si>
    <t>301400005479</t>
  </si>
  <si>
    <t>REL  PCNF DLV  PRC  CSER BCRQ GMPS MACM*</t>
  </si>
  <si>
    <t>10325290</t>
  </si>
  <si>
    <t>16.09.2026 19:57:15</t>
  </si>
  <si>
    <t>E6NN4AT#ACJ</t>
  </si>
  <si>
    <t>HP 200G2i14 3-100U 14 8GB/512 PC</t>
  </si>
  <si>
    <t>2000414356</t>
  </si>
  <si>
    <t>301400005521</t>
  </si>
  <si>
    <t>REL  CNF  DLV  PRC  BCRQ GMPS MACM OPGN*</t>
  </si>
  <si>
    <t>10338135</t>
  </si>
  <si>
    <t>18.09.2026 06:52:44</t>
  </si>
  <si>
    <t>2000419161</t>
  </si>
  <si>
    <t>301400005540</t>
  </si>
  <si>
    <t>10343250</t>
  </si>
  <si>
    <t>18.09.2026 12:15:30</t>
  </si>
  <si>
    <t>2000419163</t>
  </si>
  <si>
    <t>301400005541</t>
  </si>
  <si>
    <t>10343258</t>
  </si>
  <si>
    <t>18.09.2026 12:15:56</t>
  </si>
  <si>
    <t>2000419166</t>
  </si>
  <si>
    <t>301400005542</t>
  </si>
  <si>
    <t>10343259</t>
  </si>
  <si>
    <t>18.09.2026 12:17:38</t>
  </si>
  <si>
    <t>2000419168</t>
  </si>
  <si>
    <t>301400005543</t>
  </si>
  <si>
    <t>10343312</t>
  </si>
  <si>
    <t>18.09.2026 12:17:55</t>
  </si>
  <si>
    <t>2000411201</t>
  </si>
  <si>
    <t>301400005544</t>
  </si>
  <si>
    <t>10345843</t>
  </si>
  <si>
    <t>18.09.2026 17:36:14</t>
  </si>
  <si>
    <t>2000411202</t>
  </si>
  <si>
    <t>301400005545</t>
  </si>
  <si>
    <t>10345853</t>
  </si>
  <si>
    <t>22.09.2026 10:06:23</t>
  </si>
  <si>
    <t>2000411203</t>
  </si>
  <si>
    <t>301400005546</t>
  </si>
  <si>
    <t>10345898</t>
  </si>
  <si>
    <t>22.09.2026 13:12:29</t>
  </si>
  <si>
    <t>2000411204</t>
  </si>
  <si>
    <t>301400005547</t>
  </si>
  <si>
    <t>10345952</t>
  </si>
  <si>
    <t>22.09.2026 10:39:22</t>
  </si>
  <si>
    <t>2000411205</t>
  </si>
  <si>
    <t>301400005548</t>
  </si>
  <si>
    <t>10345981</t>
  </si>
  <si>
    <t>22.09.2026 10:50:20</t>
  </si>
  <si>
    <t>2000419164</t>
  </si>
  <si>
    <t>301400005549</t>
  </si>
  <si>
    <t>10346032</t>
  </si>
  <si>
    <t>18.09.2026 17:56:10</t>
  </si>
  <si>
    <t>2000419167</t>
  </si>
  <si>
    <t>301400005550</t>
  </si>
  <si>
    <t>10346051</t>
  </si>
  <si>
    <t>18.09.2026 17:57:37</t>
  </si>
  <si>
    <t>2000419169</t>
  </si>
  <si>
    <t>301400005551</t>
  </si>
  <si>
    <t>REL  PCNF PRC  BCRQ GMPS MACM OPGN PDLV*</t>
  </si>
  <si>
    <t>10346056</t>
  </si>
  <si>
    <t>24.09.2026 12:18:58</t>
  </si>
  <si>
    <t>2000419165</t>
  </si>
  <si>
    <t>301400005552</t>
  </si>
  <si>
    <t>10346059</t>
  </si>
  <si>
    <t>18.09.2026 18:05:18</t>
  </si>
  <si>
    <t>E6NN8AT#ACJ</t>
  </si>
  <si>
    <t>HP 200G2a14 AthS10 14 8GB/512 PC</t>
  </si>
  <si>
    <t>2000414916</t>
  </si>
  <si>
    <t>301400005557</t>
  </si>
  <si>
    <t>10346511</t>
  </si>
  <si>
    <t>18.09.2026 20:07:27</t>
  </si>
  <si>
    <t>2000414921</t>
  </si>
  <si>
    <t>301400005558</t>
  </si>
  <si>
    <t>E6NN9AT#ACJ</t>
  </si>
  <si>
    <t>10346518</t>
  </si>
  <si>
    <t>18.09.2026 20:08:13</t>
  </si>
  <si>
    <t>2000414919</t>
  </si>
  <si>
    <t>301400005559</t>
  </si>
  <si>
    <t>10346527</t>
  </si>
  <si>
    <t>18.09.2026 20:15:43</t>
  </si>
  <si>
    <t>2000419558</t>
  </si>
  <si>
    <t>301400005566</t>
  </si>
  <si>
    <t>10347946</t>
  </si>
  <si>
    <t>27.09.2026 12:10:12</t>
  </si>
  <si>
    <t>2000419557</t>
  </si>
  <si>
    <t>301400005567</t>
  </si>
  <si>
    <t>10347949</t>
  </si>
  <si>
    <t>19.09.2026 12:54:37</t>
  </si>
  <si>
    <t>2000419552</t>
  </si>
  <si>
    <t>301400005568</t>
  </si>
  <si>
    <t>10347950</t>
  </si>
  <si>
    <t>19.09.2026 14:42:43</t>
  </si>
  <si>
    <t>2000419559</t>
  </si>
  <si>
    <t>301400005569</t>
  </si>
  <si>
    <t>10347951</t>
  </si>
  <si>
    <t>27.09.2026 12:11:22</t>
  </si>
  <si>
    <t>2000419556</t>
  </si>
  <si>
    <t>301400005570</t>
  </si>
  <si>
    <t>10350196</t>
  </si>
  <si>
    <t>26.09.2026 10:47:21</t>
  </si>
  <si>
    <t>2000419555</t>
  </si>
  <si>
    <t>301400005571</t>
  </si>
  <si>
    <t>10350200</t>
  </si>
  <si>
    <t>19.09.2026 14:08:59</t>
  </si>
  <si>
    <t>2000419550</t>
  </si>
  <si>
    <t>301400005572</t>
  </si>
  <si>
    <t>10350225</t>
  </si>
  <si>
    <t>19.09.2026 14:09:17</t>
  </si>
  <si>
    <t>2000419560</t>
  </si>
  <si>
    <t>301400005573</t>
  </si>
  <si>
    <t>10350229</t>
  </si>
  <si>
    <t>26.09.2026 11:02:02</t>
  </si>
  <si>
    <t>2000417684</t>
  </si>
  <si>
    <t>301400005578</t>
  </si>
  <si>
    <t>REL  PCNF DLV  PRC  BCRQ GMPS MACM OPGN*</t>
  </si>
  <si>
    <t>10352776</t>
  </si>
  <si>
    <t>21.09.2026 05:42:49</t>
  </si>
  <si>
    <t>2000419442</t>
  </si>
  <si>
    <t>301400005587</t>
  </si>
  <si>
    <t>10353135</t>
  </si>
  <si>
    <t>24.09.2026 12:23:20</t>
  </si>
  <si>
    <t>2000419446</t>
  </si>
  <si>
    <t>301400005588</t>
  </si>
  <si>
    <t>10353169</t>
  </si>
  <si>
    <t>21.09.2026 06:01:38</t>
  </si>
  <si>
    <t>2000419443</t>
  </si>
  <si>
    <t>301400005589</t>
  </si>
  <si>
    <t>10353171</t>
  </si>
  <si>
    <t>24.09.2026 12:28:40</t>
  </si>
  <si>
    <t>2000419462</t>
  </si>
  <si>
    <t>301400005590</t>
  </si>
  <si>
    <t>10353176</t>
  </si>
  <si>
    <t>21.09.2026 06:23:07</t>
  </si>
  <si>
    <t>2000420153</t>
  </si>
  <si>
    <t>301400005593</t>
  </si>
  <si>
    <t>10362352</t>
  </si>
  <si>
    <t>22.09.2026 13:11:04</t>
  </si>
  <si>
    <t>2000416690</t>
  </si>
  <si>
    <t>301400005599</t>
  </si>
  <si>
    <t>10372219</t>
  </si>
  <si>
    <t>21.09.2026 16:45:13</t>
  </si>
  <si>
    <t>2000411206</t>
  </si>
  <si>
    <t>301400005600</t>
  </si>
  <si>
    <t>10374305</t>
  </si>
  <si>
    <t>24.09.2026 11:55:20</t>
  </si>
  <si>
    <t>2000411207</t>
  </si>
  <si>
    <t>301400005601</t>
  </si>
  <si>
    <t>10374306</t>
  </si>
  <si>
    <t>24.09.2026 11:58:53</t>
  </si>
  <si>
    <t>2000411208</t>
  </si>
  <si>
    <t>301400005602</t>
  </si>
  <si>
    <t>10374309</t>
  </si>
  <si>
    <t>24.09.2026 12:03:29</t>
  </si>
  <si>
    <t>2000414528</t>
  </si>
  <si>
    <t>301400005603</t>
  </si>
  <si>
    <t>10374555</t>
  </si>
  <si>
    <t>22.09.2026 09:39:11</t>
  </si>
  <si>
    <t>2000414922</t>
  </si>
  <si>
    <t>301400005604</t>
  </si>
  <si>
    <t>E6NN6AT#ACJ</t>
  </si>
  <si>
    <t>HP 200G2i14 5-120U 14 8GB/512 PC</t>
  </si>
  <si>
    <t>10378918</t>
  </si>
  <si>
    <t>22.09.2026 12:16:31</t>
  </si>
  <si>
    <t>2000415067</t>
  </si>
  <si>
    <t>301400005605</t>
  </si>
  <si>
    <t>E6NN5AT#ACJ</t>
  </si>
  <si>
    <t>10378942</t>
  </si>
  <si>
    <t>22.09.2026 12:17:48</t>
  </si>
  <si>
    <t>2000414918</t>
  </si>
  <si>
    <t>301400005606</t>
  </si>
  <si>
    <t>10378949</t>
  </si>
  <si>
    <t>22.09.2026 12:18:37</t>
  </si>
  <si>
    <t>2000414915</t>
  </si>
  <si>
    <t>301400005607</t>
  </si>
  <si>
    <t>E6NM8AT#ACJ</t>
  </si>
  <si>
    <t>HP 200G2i14 5-120U 14 16GB/512 PC</t>
  </si>
  <si>
    <t>10378982</t>
  </si>
  <si>
    <t>22.09.2026 12:19:05</t>
  </si>
  <si>
    <t>2000414907</t>
  </si>
  <si>
    <t>301400005608</t>
  </si>
  <si>
    <t>10381846</t>
  </si>
  <si>
    <t>22.09.2026 14:52:34</t>
  </si>
  <si>
    <t>2000414996</t>
  </si>
  <si>
    <t>301400005609</t>
  </si>
  <si>
    <t>E6NS9AT#ACJ</t>
  </si>
  <si>
    <t>HP 200G2a14 R3 30 14 8GB/512 PC</t>
  </si>
  <si>
    <t>10381857</t>
  </si>
  <si>
    <t>22.09.2026 14:53:11</t>
  </si>
  <si>
    <t>2000414998</t>
  </si>
  <si>
    <t>301400005610</t>
  </si>
  <si>
    <t>E6NT4AT#ACJ</t>
  </si>
  <si>
    <t>HP 200G2a14 R5 40 14 8GB/512 PC</t>
  </si>
  <si>
    <t>10381861</t>
  </si>
  <si>
    <t>22.09.2026 14:53:42</t>
  </si>
  <si>
    <t>2000415073</t>
  </si>
  <si>
    <t>301400005611</t>
  </si>
  <si>
    <t>10381882</t>
  </si>
  <si>
    <t>22.09.2026 14:54:14</t>
  </si>
  <si>
    <t>2000420306</t>
  </si>
  <si>
    <t>301400005613</t>
  </si>
  <si>
    <t>10382090</t>
  </si>
  <si>
    <t>22.09.2026 16:00:35</t>
  </si>
  <si>
    <t>2000420307</t>
  </si>
  <si>
    <t>301400005614</t>
  </si>
  <si>
    <t>10382351</t>
  </si>
  <si>
    <t>22.09.2026 16:00:58</t>
  </si>
  <si>
    <t>2000420308</t>
  </si>
  <si>
    <t>301400005615</t>
  </si>
  <si>
    <t>10382356</t>
  </si>
  <si>
    <t>22.09.2026 16:01:23</t>
  </si>
  <si>
    <t>2000420304</t>
  </si>
  <si>
    <t>301400005616</t>
  </si>
  <si>
    <t>10382359</t>
  </si>
  <si>
    <t>22.09.2026 16:02:09</t>
  </si>
  <si>
    <t>2000420305</t>
  </si>
  <si>
    <t>301400005617</t>
  </si>
  <si>
    <t>10382382</t>
  </si>
  <si>
    <t>22.09.2026 16:02:28</t>
  </si>
  <si>
    <t>2000420309</t>
  </si>
  <si>
    <t>301400005618</t>
  </si>
  <si>
    <t>10382384</t>
  </si>
  <si>
    <t>22.09.2026 16:02:44</t>
  </si>
  <si>
    <t>2000415449</t>
  </si>
  <si>
    <t>301400005620</t>
  </si>
  <si>
    <t>10384614</t>
  </si>
  <si>
    <t>23.09.2026 15:47:30</t>
  </si>
  <si>
    <t>2000415447</t>
  </si>
  <si>
    <t>301400005621</t>
  </si>
  <si>
    <t>10384656</t>
  </si>
  <si>
    <t>23.09.2026 15:53:51</t>
  </si>
  <si>
    <t>2000420773</t>
  </si>
  <si>
    <t>301400005624</t>
  </si>
  <si>
    <t>10390708</t>
  </si>
  <si>
    <t>23.09.2026 17:26:03</t>
  </si>
  <si>
    <t>2000420774</t>
  </si>
  <si>
    <t>301400005625</t>
  </si>
  <si>
    <t>10390756</t>
  </si>
  <si>
    <t>23.09.2026 11:11:56</t>
  </si>
  <si>
    <t>2000420776</t>
  </si>
  <si>
    <t>301400005626</t>
  </si>
  <si>
    <t>10390761</t>
  </si>
  <si>
    <t>23.09.2026 18:36:47</t>
  </si>
  <si>
    <t>2000420777</t>
  </si>
  <si>
    <t>301400005627</t>
  </si>
  <si>
    <t>10390841</t>
  </si>
  <si>
    <t>23.09.2026 11:17:28</t>
  </si>
  <si>
    <t>2000420778</t>
  </si>
  <si>
    <t>301400005628</t>
  </si>
  <si>
    <t>10390866</t>
  </si>
  <si>
    <t>23.09.2026 19:02:11</t>
  </si>
  <si>
    <t>2000420779</t>
  </si>
  <si>
    <t>301400005629</t>
  </si>
  <si>
    <t>10390902</t>
  </si>
  <si>
    <t>23.09.2026 11:33:01</t>
  </si>
  <si>
    <t>2000420780</t>
  </si>
  <si>
    <t>301400005630</t>
  </si>
  <si>
    <t>10390905</t>
  </si>
  <si>
    <t>23.09.2026 19:47:18</t>
  </si>
  <si>
    <t>2000420784</t>
  </si>
  <si>
    <t>301400005631</t>
  </si>
  <si>
    <t>10390971</t>
  </si>
  <si>
    <t>23.09.2026 11:38:57</t>
  </si>
  <si>
    <t>2000420783</t>
  </si>
  <si>
    <t>301400005632</t>
  </si>
  <si>
    <t>10390975</t>
  </si>
  <si>
    <t>23.09.2026 19:52:53</t>
  </si>
  <si>
    <t>2000420785</t>
  </si>
  <si>
    <t>301400005633</t>
  </si>
  <si>
    <t>10391037</t>
  </si>
  <si>
    <t>23.09.2026 11:43:24</t>
  </si>
  <si>
    <t>2000420992</t>
  </si>
  <si>
    <t>301400005634</t>
  </si>
  <si>
    <t>D85MTPT#ACJ</t>
  </si>
  <si>
    <t>HP ProOne 440 G9 AiO i51450016GB/256GBPC</t>
  </si>
  <si>
    <t>10394117</t>
  </si>
  <si>
    <t>23.09.2026 19:03:56</t>
  </si>
  <si>
    <t>2000420994</t>
  </si>
  <si>
    <t>301400005635</t>
  </si>
  <si>
    <t>10394212</t>
  </si>
  <si>
    <t>23.09.2026 19:05:33</t>
  </si>
  <si>
    <t>2000403901</t>
  </si>
  <si>
    <t>301400005636</t>
  </si>
  <si>
    <t>10394370</t>
  </si>
  <si>
    <t>23.09.2026 19:06:57</t>
  </si>
  <si>
    <t>2000415071</t>
  </si>
  <si>
    <t>301400005637</t>
  </si>
  <si>
    <t>10394374</t>
  </si>
  <si>
    <t>23.09.2026 19:10:56</t>
  </si>
  <si>
    <t>2000415070</t>
  </si>
  <si>
    <t>301400005638</t>
  </si>
  <si>
    <t>10394426</t>
  </si>
  <si>
    <t>23.09.2026 19:11:27</t>
  </si>
  <si>
    <t>2000418804</t>
  </si>
  <si>
    <t>301400005639</t>
  </si>
  <si>
    <t>10394705</t>
  </si>
  <si>
    <t>23.09.2026 20:50:47</t>
  </si>
  <si>
    <t>2000419554</t>
  </si>
  <si>
    <t>301400005640</t>
  </si>
  <si>
    <t>10400440</t>
  </si>
  <si>
    <t>27.09.2026 12:23:11</t>
  </si>
  <si>
    <t>2000419551</t>
  </si>
  <si>
    <t>301400005641</t>
  </si>
  <si>
    <t>10400485</t>
  </si>
  <si>
    <t>24.09.2026 16:22:29</t>
  </si>
  <si>
    <t>2000419553</t>
  </si>
  <si>
    <t>301400005642</t>
  </si>
  <si>
    <t>10400490</t>
  </si>
  <si>
    <t>24.09.2026 16:22:46</t>
  </si>
  <si>
    <t>2000419561</t>
  </si>
  <si>
    <t>301400005643</t>
  </si>
  <si>
    <t>10400494</t>
  </si>
  <si>
    <t>24.09.2026 16:23:15</t>
  </si>
  <si>
    <t>2000419465</t>
  </si>
  <si>
    <t>301400005644</t>
  </si>
  <si>
    <t>10400529</t>
  </si>
  <si>
    <t>28.09.2026 14:31:09</t>
  </si>
  <si>
    <t>2000419470</t>
  </si>
  <si>
    <t>301400005645</t>
  </si>
  <si>
    <t>10400537</t>
  </si>
  <si>
    <t>24.09.2026 16:34:43</t>
  </si>
  <si>
    <t>2000419471</t>
  </si>
  <si>
    <t>301400005646</t>
  </si>
  <si>
    <t>10400541</t>
  </si>
  <si>
    <t>24.09.2026 16:47:34</t>
  </si>
  <si>
    <t>2000419472</t>
  </si>
  <si>
    <t>301400005647</t>
  </si>
  <si>
    <t>10400565</t>
  </si>
  <si>
    <t>24.09.2026 16:48:02</t>
  </si>
  <si>
    <t>2000419464</t>
  </si>
  <si>
    <t>301400005648</t>
  </si>
  <si>
    <t>10400806</t>
  </si>
  <si>
    <t>24.09.2026 17:05:03</t>
  </si>
  <si>
    <t>2000419486</t>
  </si>
  <si>
    <t>301400005649</t>
  </si>
  <si>
    <t>10400820</t>
  </si>
  <si>
    <t>24.09.2026 17:06:18</t>
  </si>
  <si>
    <t>2000419487</t>
  </si>
  <si>
    <t>301400005650</t>
  </si>
  <si>
    <t>10400824</t>
  </si>
  <si>
    <t>24.09.2026 17:07:05</t>
  </si>
  <si>
    <t>2000419488</t>
  </si>
  <si>
    <t>301400005651</t>
  </si>
  <si>
    <t>10400826</t>
  </si>
  <si>
    <t>24.09.2026 17:07:35</t>
  </si>
  <si>
    <t>2000421431</t>
  </si>
  <si>
    <t>301400005652</t>
  </si>
  <si>
    <t>Q35771-301</t>
  </si>
  <si>
    <t>SSA BU RCTO UMA R3205 AA6U INDIA PMA1</t>
  </si>
  <si>
    <t>10400937</t>
  </si>
  <si>
    <t>24.09.2026 17:31:52</t>
  </si>
  <si>
    <t>2000421330</t>
  </si>
  <si>
    <t>301400005653</t>
  </si>
  <si>
    <t>E6GS4PA#ACJ</t>
  </si>
  <si>
    <t>10401372</t>
  </si>
  <si>
    <t>24.09.2026 19:11:07</t>
  </si>
  <si>
    <t>2000421329</t>
  </si>
  <si>
    <t>301400005654</t>
  </si>
  <si>
    <t>10401430</t>
  </si>
  <si>
    <t>24.09.2026 19:11:59</t>
  </si>
  <si>
    <t>2000415196</t>
  </si>
  <si>
    <t>301400005655</t>
  </si>
  <si>
    <t>10401533</t>
  </si>
  <si>
    <t>24.09.2026 20:02:25</t>
  </si>
  <si>
    <t>2000415199</t>
  </si>
  <si>
    <t>301400005656</t>
  </si>
  <si>
    <t>10401535</t>
  </si>
  <si>
    <t>24.09.2026 20:02:54</t>
  </si>
  <si>
    <t>2000415198</t>
  </si>
  <si>
    <t>301400005657</t>
  </si>
  <si>
    <t>10401537</t>
  </si>
  <si>
    <t>24.09.2026 20:03:23</t>
  </si>
  <si>
    <t>2000415194</t>
  </si>
  <si>
    <t>301400005658</t>
  </si>
  <si>
    <t>10401538</t>
  </si>
  <si>
    <t>24.09.2026 20:03:52</t>
  </si>
  <si>
    <t>2000420603</t>
  </si>
  <si>
    <t>301400005659</t>
  </si>
  <si>
    <t>10401620</t>
  </si>
  <si>
    <t>24.09.2026 21:11:25</t>
  </si>
  <si>
    <t>2000420993</t>
  </si>
  <si>
    <t>301400005660</t>
  </si>
  <si>
    <t>10414045</t>
  </si>
  <si>
    <t>25.09.2026 15:40:43</t>
  </si>
  <si>
    <t>2000417642</t>
  </si>
  <si>
    <t>301400005661</t>
  </si>
  <si>
    <t>10414083</t>
  </si>
  <si>
    <t>25.09.2026 15:41:17</t>
  </si>
  <si>
    <t>2000417656</t>
  </si>
  <si>
    <t>301400005662</t>
  </si>
  <si>
    <t>10414089</t>
  </si>
  <si>
    <t>25.09.2026 15:41:44</t>
  </si>
  <si>
    <t>2000417666</t>
  </si>
  <si>
    <t>301400005663</t>
  </si>
  <si>
    <t>10414486</t>
  </si>
  <si>
    <t>25.09.2026 15:42:10</t>
  </si>
  <si>
    <t>2000417621</t>
  </si>
  <si>
    <t>301400005664</t>
  </si>
  <si>
    <t>10414706</t>
  </si>
  <si>
    <t>25.09.2026 15:42:36</t>
  </si>
  <si>
    <t>2000417620</t>
  </si>
  <si>
    <t>301400005665</t>
  </si>
  <si>
    <t>10415046</t>
  </si>
  <si>
    <t>25.09.2026 15:43:01</t>
  </si>
  <si>
    <t>2000387229</t>
  </si>
  <si>
    <t>301400005666</t>
  </si>
  <si>
    <t>10417862</t>
  </si>
  <si>
    <t>25.09.2026 17:03:30</t>
  </si>
  <si>
    <t>BASISINFRA</t>
  </si>
  <si>
    <t>2000391157</t>
  </si>
  <si>
    <t>301400005667</t>
  </si>
  <si>
    <t>10417870</t>
  </si>
  <si>
    <t>25.09.2026 17:06:00</t>
  </si>
  <si>
    <t>2000395133</t>
  </si>
  <si>
    <t>301400005668</t>
  </si>
  <si>
    <t>10417875</t>
  </si>
  <si>
    <t>25.09.2026 17:06:35</t>
  </si>
  <si>
    <t>2000415739</t>
  </si>
  <si>
    <t>301400005669</t>
  </si>
  <si>
    <t>10417881</t>
  </si>
  <si>
    <t>25.09.2026 17:07:12</t>
  </si>
  <si>
    <t>2000415740</t>
  </si>
  <si>
    <t>301400005670</t>
  </si>
  <si>
    <t>10417902</t>
  </si>
  <si>
    <t>25.09.2026 17:07:46</t>
  </si>
  <si>
    <t>2000415745</t>
  </si>
  <si>
    <t>301400005671</t>
  </si>
  <si>
    <t>10417905</t>
  </si>
  <si>
    <t>25.09.2026 17:08:15</t>
  </si>
  <si>
    <t>2000421332</t>
  </si>
  <si>
    <t>301400005672</t>
  </si>
  <si>
    <t>E8ZT2PT#ACJ</t>
  </si>
  <si>
    <t>10417986</t>
  </si>
  <si>
    <t>25.09.2026 17:08:52</t>
  </si>
  <si>
    <t>2000421333</t>
  </si>
  <si>
    <t>301400005673</t>
  </si>
  <si>
    <t>10417987</t>
  </si>
  <si>
    <t>25.09.2026 17:09:26</t>
  </si>
  <si>
    <t>2000421331</t>
  </si>
  <si>
    <t>301400005674</t>
  </si>
  <si>
    <t>10417991</t>
  </si>
  <si>
    <t>26.09.2026 17:36:06</t>
  </si>
  <si>
    <t>2000414930</t>
  </si>
  <si>
    <t>301400005675</t>
  </si>
  <si>
    <t>E6NS8AT#ACJ</t>
  </si>
  <si>
    <t>HP 200G2i14 7-150U 14 16GB/512 PC</t>
  </si>
  <si>
    <t>10419002</t>
  </si>
  <si>
    <t>25.09.2026 21:00:23</t>
  </si>
  <si>
    <t>2000415072</t>
  </si>
  <si>
    <t>301400005676</t>
  </si>
  <si>
    <t>10419006</t>
  </si>
  <si>
    <t>25.09.2026 21:02:31</t>
  </si>
  <si>
    <t>2000415197</t>
  </si>
  <si>
    <t>301400005677</t>
  </si>
  <si>
    <t>REL  PRC  CSER BCRQ GMPS MACM OPGN SETC</t>
  </si>
  <si>
    <t>10419008</t>
  </si>
  <si>
    <t>25.09.2026 21:02:53</t>
  </si>
  <si>
    <t>2000419466</t>
  </si>
  <si>
    <t>301400005678</t>
  </si>
  <si>
    <t>10420445</t>
  </si>
  <si>
    <t>26.09.2026 08:28:05</t>
  </si>
  <si>
    <t>2000419513</t>
  </si>
  <si>
    <t>301400005679</t>
  </si>
  <si>
    <t>10420450</t>
  </si>
  <si>
    <t>26.09.2026 08:28:52</t>
  </si>
  <si>
    <t>2000419515</t>
  </si>
  <si>
    <t>301400005680</t>
  </si>
  <si>
    <t>10420451</t>
  </si>
  <si>
    <t>26.09.2026 08:29:11</t>
  </si>
  <si>
    <t>2000419514</t>
  </si>
  <si>
    <t>301400005681</t>
  </si>
  <si>
    <t>10420453</t>
  </si>
  <si>
    <t>26.09.2026 08:29:57</t>
  </si>
  <si>
    <t>2000419468</t>
  </si>
  <si>
    <t>301400005682</t>
  </si>
  <si>
    <t>10420455</t>
  </si>
  <si>
    <t>26.09.2026 08:32:20</t>
  </si>
  <si>
    <t>2000419516</t>
  </si>
  <si>
    <t>301400005683</t>
  </si>
  <si>
    <t>10420461</t>
  </si>
  <si>
    <t>26.09.2026 08:33:12</t>
  </si>
  <si>
    <t>2000419533</t>
  </si>
  <si>
    <t>301400005684</t>
  </si>
  <si>
    <t>10420463</t>
  </si>
  <si>
    <t>26.09.2026 08:33:35</t>
  </si>
  <si>
    <t>2000419526</t>
  </si>
  <si>
    <t>301400005685</t>
  </si>
  <si>
    <t>10420466</t>
  </si>
  <si>
    <t>26.09.2026 08:34:10</t>
  </si>
  <si>
    <t>2000414910</t>
  </si>
  <si>
    <t>301400005686</t>
  </si>
  <si>
    <t>REL  PRC  BCRQ GMPS MACM OPGN SETC</t>
  </si>
  <si>
    <t>10420904</t>
  </si>
  <si>
    <t>26.09.2026 10:06:55</t>
  </si>
  <si>
    <t>2000421979</t>
  </si>
  <si>
    <t>301400005687</t>
  </si>
  <si>
    <t>E8SP4PT#ACJ</t>
  </si>
  <si>
    <t>HP ProStudio 4 AiO G1i U5225 8GB/512GBPC</t>
  </si>
  <si>
    <t>10423120</t>
  </si>
  <si>
    <t>26.09.2026 15:01:37</t>
  </si>
  <si>
    <t>2000421981</t>
  </si>
  <si>
    <t>301400005688</t>
  </si>
  <si>
    <t>10423154</t>
  </si>
  <si>
    <t>26.09.2026 14:53:06</t>
  </si>
  <si>
    <t>2000421982</t>
  </si>
  <si>
    <t>301400005689</t>
  </si>
  <si>
    <t>10423162</t>
  </si>
  <si>
    <t>26.09.2026 14:53:49</t>
  </si>
  <si>
    <t>2000421983</t>
  </si>
  <si>
    <t>301400005690</t>
  </si>
  <si>
    <t>10423173</t>
  </si>
  <si>
    <t>26.09.2026 14:54:40</t>
  </si>
  <si>
    <t>2000391160</t>
  </si>
  <si>
    <t>301400005691</t>
  </si>
  <si>
    <t>10425994</t>
  </si>
  <si>
    <t>26.09.2026 17:29:29</t>
  </si>
  <si>
    <t>2000406898</t>
  </si>
  <si>
    <t>301400005692</t>
  </si>
  <si>
    <t>10426000</t>
  </si>
  <si>
    <t>26.09.2026 17:30:37</t>
  </si>
  <si>
    <t>2000419444</t>
  </si>
  <si>
    <t>301400005694</t>
  </si>
  <si>
    <t>10429317</t>
  </si>
  <si>
    <t>26.09.2026 20:03:41</t>
  </si>
  <si>
    <t>2000419461</t>
  </si>
  <si>
    <t>301400005695</t>
  </si>
  <si>
    <t>10429320</t>
  </si>
  <si>
    <t>26.09.2026 20:04:12</t>
  </si>
  <si>
    <t>2000419445</t>
  </si>
  <si>
    <t>301400005696</t>
  </si>
  <si>
    <t>10429321</t>
  </si>
  <si>
    <t>26.09.2026 20:05:29</t>
  </si>
  <si>
    <t>2000419463</t>
  </si>
  <si>
    <t>301400005697</t>
  </si>
  <si>
    <t>10429344</t>
  </si>
  <si>
    <t>26.09.2026 20:06:00</t>
  </si>
  <si>
    <t>2000421430</t>
  </si>
  <si>
    <t>301400005698</t>
  </si>
  <si>
    <t>10432586</t>
  </si>
  <si>
    <t>27.09.2026 16:31:13</t>
  </si>
  <si>
    <t>2000421434</t>
  </si>
  <si>
    <t>301400005699</t>
  </si>
  <si>
    <t>10432595</t>
  </si>
  <si>
    <t>27.09.2026 16:32:34</t>
  </si>
  <si>
    <t>2000421432</t>
  </si>
  <si>
    <t>301400005700</t>
  </si>
  <si>
    <t>Q35774-301</t>
  </si>
  <si>
    <t>SSA BU RCTO UMA R5216 AA6U INDIA PMA1</t>
  </si>
  <si>
    <t>10432599</t>
  </si>
  <si>
    <t>27.09.2026 16:33:21</t>
  </si>
  <si>
    <t>2000421433</t>
  </si>
  <si>
    <t>301400005701</t>
  </si>
  <si>
    <t>10432622</t>
  </si>
  <si>
    <t>27.09.2026 16:34:13</t>
  </si>
  <si>
    <t>2000421435</t>
  </si>
  <si>
    <t>301400005702</t>
  </si>
  <si>
    <t>Q35777-301</t>
  </si>
  <si>
    <t>SSA BU RCTO UMA R7217 AA6U INDIA PMA1</t>
  </si>
  <si>
    <t>10432626</t>
  </si>
  <si>
    <t>27.09.2026 16:36:54</t>
  </si>
  <si>
    <t>2000421436</t>
  </si>
  <si>
    <t>301400005703</t>
  </si>
  <si>
    <t>10432628</t>
  </si>
  <si>
    <t>27.09.2026 17:14:13</t>
  </si>
  <si>
    <t>2000417701</t>
  </si>
  <si>
    <t>301400005704</t>
  </si>
  <si>
    <t>10434287</t>
  </si>
  <si>
    <t>28.09.2026 10:16:48</t>
  </si>
  <si>
    <t>2000417694</t>
  </si>
  <si>
    <t>301400005705</t>
  </si>
  <si>
    <t>REL  PRC  BCRQ MACM OPGN SETC</t>
  </si>
  <si>
    <t>10434320</t>
  </si>
  <si>
    <t>28.09.2026 10:17:46</t>
  </si>
  <si>
    <t>2000417674</t>
  </si>
  <si>
    <t>301400005706</t>
  </si>
  <si>
    <t>10434347</t>
  </si>
  <si>
    <t>28.09.2026 10:18:48</t>
  </si>
  <si>
    <t>2000417616</t>
  </si>
  <si>
    <t>301400005707</t>
  </si>
  <si>
    <t>10434351</t>
  </si>
  <si>
    <t>28.09.2026 10:20:14</t>
  </si>
  <si>
    <t>2000417689</t>
  </si>
  <si>
    <t>301400005708</t>
  </si>
  <si>
    <t>10434356</t>
  </si>
  <si>
    <t>28.09.2026 10:23:01</t>
  </si>
  <si>
    <t>2000417655</t>
  </si>
  <si>
    <t>301400005709</t>
  </si>
  <si>
    <t>10434364</t>
  </si>
  <si>
    <t>28.09.2026 10:25:20</t>
  </si>
  <si>
    <t>2000417664</t>
  </si>
  <si>
    <t>301400005710</t>
  </si>
  <si>
    <t>10434370</t>
  </si>
  <si>
    <t>28.09.2026 10:28:18</t>
  </si>
  <si>
    <t>2000417680</t>
  </si>
  <si>
    <t>301400005711</t>
  </si>
  <si>
    <t>10436097</t>
  </si>
  <si>
    <t>28.09.2026 10:29:16</t>
  </si>
  <si>
    <t>2000415574</t>
  </si>
  <si>
    <t>301400005712</t>
  </si>
  <si>
    <t>10439209</t>
  </si>
  <si>
    <t>28.09.2026 12:22:16</t>
  </si>
  <si>
    <t>DB16</t>
  </si>
  <si>
    <t>3016</t>
  </si>
  <si>
    <t>MB16</t>
  </si>
  <si>
    <t>FA16</t>
  </si>
  <si>
    <t>3AFG</t>
  </si>
  <si>
    <t>60NB17T0-IO2000</t>
  </si>
  <si>
    <t>X1504VAPB_IN IO_BD.|R2.0</t>
  </si>
  <si>
    <t>60NB17T0-MB4100</t>
  </si>
  <si>
    <t>X1504VAPB_IN MB._8G/5 120U/AS|R2.0(UBIQ)</t>
  </si>
  <si>
    <t>60NB18T0-IO1000</t>
  </si>
  <si>
    <t>M1605NAQ_IN IO_BD|R2.0</t>
  </si>
  <si>
    <t>90NB17T2-M000D0</t>
  </si>
  <si>
    <t>AS X1504VAPB 120U/0005DA/8G/US|X1504VAP_</t>
  </si>
  <si>
    <t>60NR0R10-MB1000</t>
  </si>
  <si>
    <t>FA506NCQ_IN MB._0M/R7-170|R2.3(V4G)</t>
  </si>
  <si>
    <t>60NR0R10-US1000</t>
  </si>
  <si>
    <t>FA506NCQ_IN USB BD.|R2.0</t>
  </si>
  <si>
    <t>60NR0R10-LD1000</t>
  </si>
  <si>
    <t>FA506NCQ_IN LED BD.|R2.0</t>
  </si>
  <si>
    <t>60NB14I0-MB1D00</t>
  </si>
  <si>
    <t>E1504FA_IN MB._8G/R5-40/AS|R2.2/FTPM(45W</t>
  </si>
  <si>
    <t>90NB14I1-M000H0</t>
  </si>
  <si>
    <t>AS E1504FA 40/0005DA/8G/US|E1504FA_IN-1S</t>
  </si>
  <si>
    <t>60NB19F0-MB1000</t>
  </si>
  <si>
    <t>X1504MA_IN MB._0M/3 304|R2.0</t>
  </si>
  <si>
    <t>60NB19F0-IO1000</t>
  </si>
  <si>
    <t>X1504MA_IN IO_BD./AS|R2.0</t>
  </si>
  <si>
    <t>60NB14I0-MB1A00</t>
  </si>
  <si>
    <t>E1504FA_IN MB._8G/R3-30/AS|R2.2/FTPM(45W</t>
  </si>
  <si>
    <t>306100000714</t>
  </si>
  <si>
    <t>REL  MSPT PCNF PRC  CSER BCRQ GMPS OPGN*</t>
  </si>
  <si>
    <t>10352661</t>
  </si>
  <si>
    <t>19.09.2026 18:30:02</t>
  </si>
  <si>
    <t>306100000715</t>
  </si>
  <si>
    <t>10352704</t>
  </si>
  <si>
    <t>19.09.2026 18:39:20</t>
  </si>
  <si>
    <t>306100000716</t>
  </si>
  <si>
    <t>10352933</t>
  </si>
  <si>
    <t>19.09.2026 19:15:47</t>
  </si>
  <si>
    <t>306100000724</t>
  </si>
  <si>
    <t>REL  PCNF PRC  CSER BCRQ GMPS MACM OPGN*</t>
  </si>
  <si>
    <t>10394436</t>
  </si>
  <si>
    <t>23.09.2026 19:01:17</t>
  </si>
  <si>
    <t>306100000725</t>
  </si>
  <si>
    <t>10395027</t>
  </si>
  <si>
    <t>23.09.2026 23:28:31</t>
  </si>
  <si>
    <t>306100000728</t>
  </si>
  <si>
    <t>10407681</t>
  </si>
  <si>
    <t>25.09.2026 11:11:59</t>
  </si>
  <si>
    <t>306100000732</t>
  </si>
  <si>
    <t>10419811</t>
  </si>
  <si>
    <t>26.09.2026 01:02:37</t>
  </si>
  <si>
    <t>306100000733</t>
  </si>
  <si>
    <t>10419916</t>
  </si>
  <si>
    <t>26.09.2026 01:03:44</t>
  </si>
  <si>
    <t>306100000734</t>
  </si>
  <si>
    <t>10419922</t>
  </si>
  <si>
    <t>26.09.2026 01:04:13</t>
  </si>
  <si>
    <t>306100000735</t>
  </si>
  <si>
    <t>10432822</t>
  </si>
  <si>
    <t>28.09.2026 19:59:55</t>
  </si>
  <si>
    <t>306100000736</t>
  </si>
  <si>
    <t>10432870</t>
  </si>
  <si>
    <t>29.09.2026 04:42:38</t>
  </si>
  <si>
    <t>306100000737</t>
  </si>
  <si>
    <t>10433728</t>
  </si>
  <si>
    <t>29.09.2026 04:44:04</t>
  </si>
  <si>
    <t>306100000738</t>
  </si>
  <si>
    <t>10439304</t>
  </si>
  <si>
    <t>28.09.2026 12:33:11</t>
  </si>
  <si>
    <t>306100000739</t>
  </si>
  <si>
    <t>10439329</t>
  </si>
  <si>
    <t>28.09.2026 12:33:35</t>
  </si>
  <si>
    <t>306100000740</t>
  </si>
  <si>
    <t>10441833</t>
  </si>
  <si>
    <t>28.09.2026 20:21:00</t>
  </si>
  <si>
    <t>Sales Order</t>
  </si>
  <si>
    <t>Order</t>
  </si>
  <si>
    <t>Planning Plant</t>
  </si>
  <si>
    <t>Material</t>
  </si>
  <si>
    <t>Material description</t>
  </si>
  <si>
    <t>Order quantity (GMEIN)</t>
  </si>
  <si>
    <t>Delivered quantity (GMEIN)</t>
  </si>
  <si>
    <t>Order Type</t>
  </si>
  <si>
    <t>System Status</t>
  </si>
  <si>
    <t>Plant</t>
  </si>
  <si>
    <t>Storage location</t>
  </si>
  <si>
    <t>Created On</t>
  </si>
  <si>
    <t>Release date (actual)</t>
  </si>
  <si>
    <t>Basic start date</t>
  </si>
  <si>
    <t>Basic finish date</t>
  </si>
  <si>
    <t>Reservation</t>
  </si>
  <si>
    <t>Time Stamp</t>
  </si>
  <si>
    <t>Actual finish date</t>
  </si>
  <si>
    <t>ActualStartTime</t>
  </si>
  <si>
    <t>Change date</t>
  </si>
  <si>
    <t>Last Changed By</t>
  </si>
  <si>
    <t>User Status</t>
  </si>
  <si>
    <t>Confirmed finish date</t>
  </si>
  <si>
    <t>Actual Finish Time</t>
  </si>
  <si>
    <t>Actual start time</t>
  </si>
  <si>
    <t>Start date (sched)</t>
  </si>
  <si>
    <t>Deletion Flag</t>
  </si>
  <si>
    <t>Pending</t>
  </si>
  <si>
    <t>Aging days</t>
  </si>
  <si>
    <t>Aging bucket</t>
  </si>
  <si>
    <t>0-3 days</t>
  </si>
  <si>
    <t>4-7 days</t>
  </si>
  <si>
    <t>&gt;7 days</t>
  </si>
  <si>
    <t>Qty</t>
  </si>
  <si>
    <t>Count</t>
  </si>
  <si>
    <t>Total</t>
  </si>
  <si>
    <t>-</t>
  </si>
  <si>
    <t>GIGABYTE- FATP</t>
  </si>
  <si>
    <t>ACER - FATP</t>
  </si>
  <si>
    <t>ASUS - FATP</t>
  </si>
  <si>
    <t>PPC/WIP</t>
  </si>
  <si>
    <t>Awaiting for backflush and teco</t>
  </si>
  <si>
    <t>HP - FATP</t>
  </si>
  <si>
    <t>ASUS - SMT</t>
  </si>
  <si>
    <t>HP - SMT</t>
  </si>
  <si>
    <t>Timeline</t>
  </si>
  <si>
    <t>Resp.</t>
  </si>
  <si>
    <t>Clearance Plan of &gt;7 Days</t>
  </si>
  <si>
    <t>TTL</t>
  </si>
  <si>
    <t>Summary</t>
  </si>
  <si>
    <t xml:space="preserve"> </t>
  </si>
  <si>
    <t>Work Order Aging - Status - 29-09-2026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</si>
</sst>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5" x14ac:knownFonts="1">
    <font>
      <sz val="10"/>
      <name val="Arial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  <font>
      <b/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1" applyAlignment="1">
      <alignment vertical="top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16" fontId="2" fillId="0" borderId="6" xfId="1" applyNumberFormat="1" applyFont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</cellXfs>
  <cellStyles count="2">
    <cellStyle name="Normal" xfId="0" builtinId="0"/>
    <cellStyle name="Normal 2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secsupplier.com/Data/99&#44221;&#50689;/&#49552;&#51061;/&#49688;&#51648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7448;&#51473;&#50676;\95&#45380;\'96&#44221;&#44228;\&#47932;&#47049;&#44228;&#54925;\DATA2\95RLT\SOKBO\8&#50900;&#49549;&#483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duction\&#44221;&#50689;&#44228;&#54925;\2001\My%20Documents\Prod_plan\2000PROD\2000_sliter%20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1116;&#45909;\C\98&#44221;&#50689;\WHIR98K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97&#48372;&#44256;/97&#49892;&#51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Shree\Desktop\NAVNATH%2031.03.13\AFTER%20.80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secsupplier.com/00-&#51204;&#51109;&#47932;%20&#50629;&#47924;/05-&#45800;&#44032;&#54408;&#51032;/081118-&#49888;&#50896;&#44032;%20&#44160;&#53664;%20LOGI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secsupplier.com/&#44221;&#50689;&#44228;&#54925;/&#50696;&#49345;/rev03/LSI&#47588;&#522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0896;\C\EXCEL\SONIK\2&#50900;&#48516;&#4943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457;&#51652;\&#50689;&#50629;&#44288;&#47532;\My%20Documents\&#50689;&#50629;&#44288;&#47532;\&#47588;&#52636;&#48372;&#44256;\&#47588;&#52636;&#48372;&#44256;(02&#45380;)\&#47588;&#52636;&#48372;&#44256;(99.1&#50900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1221;\C\My%20Documents\EXCELDATA\&#52264;&#51077;&#44552;\LTC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1221;\C\My%20Documents\EXCELDATA\&#52264;&#51077;&#44552;\LEA(&#51221;&#4837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secsupplier.com/Single/Office40/Temp/SINGLE/EMAIL/temp/&#51068;&#49884;&#51200;&#51109;/&#47588;&#52636;&#52292;&#4442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secsupplier.com/DATA/&#44032;&#51204;2000/&#44221;&#50689;&#44288;&#47532;/&#44032;&#51204;&#51064;&#49688;/&#51068;&#47448;&#54868;&#50672;&#442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전망"/>
      <sheetName val="항목별"/>
      <sheetName val="Supplement2"/>
      <sheetName val="Injection Equipment"/>
      <sheetName val="Function"/>
      <sheetName val="WEIGHT"/>
      <sheetName val="Simulate"/>
      <sheetName val="PD-전망"/>
      <sheetName val="견장계수"/>
      <sheetName val="Upgrades pricing"/>
      <sheetName val="#REF"/>
      <sheetName val="Assembly Cost Break up"/>
      <sheetName val="Freight Cost Breakup "/>
      <sheetName val="Simulation"/>
      <sheetName val="Entity BOM Cost (Online Single)"/>
      <sheetName val="Material Item"/>
      <sheetName val="Press Equipment"/>
      <sheetName val="기본 정보"/>
      <sheetName val="Miser-P "/>
      <sheetName val="01"/>
      <sheetName val="07"/>
      <sheetName val="03"/>
      <sheetName val="04"/>
      <sheetName val="02"/>
      <sheetName val="08"/>
      <sheetName val="생산전망 )濰嬲垴)_x0000__x0000_쑣"/>
      <sheetName val="생산전망 )濰嬲Ｄ(_x0000__x0000_쑣"/>
      <sheetName val="THEME CODE"/>
      <sheetName val="CR CODE"/>
      <sheetName val="부서CODE"/>
      <sheetName val="기본_정보"/>
      <sheetName val="Tbom-tot"/>
      <sheetName val="data"/>
      <sheetName val="실DATA_"/>
      <sheetName val="시장별출하실적 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당월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자내역"/>
      <sheetName val="본사비내역 (2)"/>
      <sheetName val="본사비내역"/>
      <sheetName val="본사비배부"/>
      <sheetName val="물산대행"/>
      <sheetName val="본사비,본부비"/>
      <sheetName val="SAS기술료"/>
      <sheetName val="본사직접비"/>
      <sheetName val="특허변호사비"/>
      <sheetName val="환차상각"/>
      <sheetName val="영업외비용기타"/>
      <sheetName val="참고"/>
      <sheetName val="#REF"/>
      <sheetName val="96월경계 (2)"/>
      <sheetName val="계DATA"/>
      <sheetName val="실DATA "/>
      <sheetName val="Tbom-tot"/>
      <sheetName val="96월경계 (2)?tot_x0001_畅䠠I_x0001_ࠀ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사집계"/>
      <sheetName val="SET"/>
      <sheetName val="INDIRECT OEM"/>
      <sheetName val="특성DB"/>
      <sheetName val="팀별비상대책(案)-Ⅰ.요약"/>
      <sheetName val="Ⅱ.주요항목별-복리후생"/>
      <sheetName val="정책성"/>
      <sheetName val="일반운영"/>
      <sheetName val="관리불능"/>
      <sheetName val="연간예상분석"/>
      <sheetName val="1~5월예상실적"/>
      <sheetName val="6월분석"/>
      <sheetName val="7월분석"/>
      <sheetName val="8월분석"/>
      <sheetName val="9~12월예상"/>
      <sheetName val="수정내역"/>
      <sheetName val="Total"/>
      <sheetName val="GR&amp;A"/>
      <sheetName val="Materials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해외세목"/>
      <sheetName val="Intro"/>
      <sheetName val="피엘"/>
      <sheetName val="갑지"/>
      <sheetName val="ESON00"/>
      <sheetName val="SC"/>
      <sheetName val="본사출하"/>
      <sheetName val="현지요약"/>
      <sheetName val="입과자(확정전)"/>
      <sheetName val="00년 계획전망"/>
      <sheetName val="99"/>
      <sheetName val="2.조직별"/>
      <sheetName val="HOME"/>
      <sheetName val="정책성비"/>
      <sheetName val="3개월"/>
      <sheetName val="연계-GPM-BRAND"/>
      <sheetName val="A01_FM00"/>
      <sheetName val="실적"/>
      <sheetName val="LINELEV4"/>
      <sheetName val="HAWK16(XRX)"/>
      <sheetName val="반도체요약"/>
      <sheetName val="Look up"/>
      <sheetName val="항목별"/>
      <sheetName val="96갑지"/>
      <sheetName val="지급-용역비"/>
      <sheetName val="드롭다운 항목"/>
      <sheetName val="반도체"/>
      <sheetName val="Chapter06"/>
      <sheetName val="8월속보"/>
      <sheetName val="JE9911"/>
      <sheetName val="PT 일일 실적(6월)"/>
      <sheetName val="전사집계(6월경계 (2)?tot_x0001_畅䠠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_사용량"/>
      <sheetName val="core_소요량"/>
      <sheetName val="coil_소요량"/>
      <sheetName val="요약"/>
      <sheetName val="소요량"/>
      <sheetName val="가동및생산"/>
      <sheetName val="97물량"/>
      <sheetName val="97물량?_x0000_瑢Ǿ_x0006__x0000_"/>
      <sheetName val="97물량?畅䠠I_x0001_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HT2"/>
      <sheetName val="정규직"/>
      <sheetName val="97물량"/>
      <sheetName val="사업부별"/>
      <sheetName val="core_소요량"/>
      <sheetName val="core_소요량DMy Doc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입고품"/>
      <sheetName val="Simulate"/>
      <sheetName val="MetaInfo"/>
      <sheetName val="Temp"/>
      <sheetName val="기본 정보"/>
      <sheetName val="97실적"/>
      <sheetName val="data"/>
      <sheetName val="공구기구"/>
      <sheetName val="Function"/>
      <sheetName val="WEIGHT"/>
      <sheetName val="작성양식"/>
      <sheetName val="Shape"/>
      <sheetName val="THEME CODE"/>
      <sheetName val="CR CODE"/>
      <sheetName val="부서CODE"/>
      <sheetName val="설계예정표(设计预定表)"/>
      <sheetName val="1.판매계획"/>
      <sheetName val="X3"/>
      <sheetName val="불량현황1월"/>
      <sheetName val="PNO"/>
      <sheetName val="참조"/>
      <sheetName val="ROTARY_PSI"/>
      <sheetName val="SCROLL_PSI"/>
      <sheetName val="Upgrades pricing"/>
      <sheetName val="견장계수"/>
      <sheetName val="만년달력"/>
      <sheetName val="Tbom-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AI"/>
      <sheetName val="SMT"/>
      <sheetName val="MI"/>
      <sheetName val="CTL"/>
      <sheetName val="Sheet2"/>
      <sheetName val="Sheet3"/>
      <sheetName val="AFTER .808"/>
    </sheetNames>
    <definedNames>
      <definedName name="다음1" refersTo="#REF!"/>
      <definedName name="이전" refersTo="#REF!"/>
      <definedName name="자재송부용" refersTo="#REF!"/>
      <definedName name="주요모델특기" refersTo="#REF!"/>
      <definedName name="초기화면" refersTo="#REF!"/>
      <definedName name="ㅎㅎㅎ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"/>
      <sheetName val="①-1"/>
      <sheetName val="①-2"/>
      <sheetName val="①-3"/>
      <sheetName val="①-4"/>
      <sheetName val="①-5"/>
      <sheetName val="①-5 (2)"/>
      <sheetName val="②-1"/>
      <sheetName val="②-2"/>
      <sheetName val="단가"/>
      <sheetName val="Tbom-tot"/>
      <sheetName val="단가liter plan.xls]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잉여금"/>
      <sheetName val="LSI매차"/>
      <sheetName val="실행VS예상"/>
      <sheetName val="잉여금?_x0000_新ョ_x001c__x0000__x000e_耇烲畅䠠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냉기차이"/>
      <sheetName val="특기차이"/>
      <sheetName val="매출이익"/>
      <sheetName val="피엘"/>
      <sheetName val="사업부손익"/>
      <sheetName val="정책성비"/>
      <sheetName val="전사집계"/>
      <sheetName val="반도체"/>
      <sheetName val="예수금"/>
      <sheetName val="ACC NW"/>
      <sheetName val="설계"/>
      <sheetName val="유지보수"/>
      <sheetName val="이동통신"/>
      <sheetName val="II SYS"/>
      <sheetName val="해외"/>
      <sheetName val="해외세목"/>
      <sheetName val="TOTAL"/>
      <sheetName val="97물량"/>
      <sheetName val="Sheet1"/>
      <sheetName val="200812 매출집계표 다운_최종"/>
      <sheetName val="수불명세서"/>
      <sheetName val="반도체요약"/>
      <sheetName val="수불명세서?_x001c__x0000__x0000__x0000__x0000__x0000_媐嬯_x001c__x0000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실적보고"/>
      <sheetName val="미결현황"/>
      <sheetName val="수불명세서"/>
      <sheetName val="매출비교"/>
      <sheetName val="Sheet1"/>
    </sheetNames>
    <sheetDataSet>
      <sheetData sheetId="0"/>
      <sheetData sheetId="1"/>
      <sheetData sheetId="2"/>
      <sheetData sheetId="3">
        <row r="4">
          <cell r="A4" t="str">
            <v>CODE-NO</v>
          </cell>
          <cell r="B4" t="str">
            <v>사내재고</v>
          </cell>
          <cell r="C4" t="str">
            <v>기말재고</v>
          </cell>
          <cell r="D4" t="str">
            <v>계</v>
          </cell>
          <cell r="E4" t="str">
            <v>입 고</v>
          </cell>
          <cell r="F4" t="str">
            <v>출 고</v>
          </cell>
          <cell r="G4" t="str">
            <v>사내재고</v>
          </cell>
          <cell r="H4" t="str">
            <v>1차 매출</v>
          </cell>
          <cell r="I4" t="str">
            <v>1차매출금액</v>
          </cell>
          <cell r="J4" t="str">
            <v>2차 매출</v>
          </cell>
          <cell r="K4" t="str">
            <v>2차매출금액</v>
          </cell>
          <cell r="L4" t="str">
            <v>매출수량    합계</v>
          </cell>
          <cell r="M4" t="str">
            <v>매출액</v>
          </cell>
          <cell r="N4" t="str">
            <v>타 A/S (SAMPLE)</v>
          </cell>
          <cell r="O4" t="str">
            <v>SEC 재고</v>
          </cell>
          <cell r="P4" t="str">
            <v>기말재고</v>
          </cell>
        </row>
        <row r="5">
          <cell r="A5" t="str">
            <v>AA59-10005B(7B)</v>
          </cell>
          <cell r="B5">
            <v>493</v>
          </cell>
          <cell r="C5">
            <v>0</v>
          </cell>
          <cell r="D5">
            <v>493</v>
          </cell>
          <cell r="G5">
            <v>493</v>
          </cell>
          <cell r="L5">
            <v>0</v>
          </cell>
          <cell r="M5">
            <v>0</v>
          </cell>
          <cell r="O5">
            <v>0</v>
          </cell>
          <cell r="P5">
            <v>493</v>
          </cell>
        </row>
        <row r="6">
          <cell r="A6" t="str">
            <v>3F14-00034-681(5L)</v>
          </cell>
          <cell r="B6">
            <v>61</v>
          </cell>
          <cell r="C6">
            <v>0</v>
          </cell>
          <cell r="D6">
            <v>61</v>
          </cell>
          <cell r="G6">
            <v>61</v>
          </cell>
          <cell r="L6">
            <v>0</v>
          </cell>
          <cell r="M6">
            <v>0</v>
          </cell>
          <cell r="O6">
            <v>0</v>
          </cell>
          <cell r="P6">
            <v>61</v>
          </cell>
        </row>
        <row r="7">
          <cell r="A7" t="str">
            <v>AA59-10008D</v>
          </cell>
          <cell r="B7">
            <v>0</v>
          </cell>
          <cell r="C7">
            <v>0</v>
          </cell>
          <cell r="D7">
            <v>0</v>
          </cell>
          <cell r="G7">
            <v>0</v>
          </cell>
          <cell r="K7">
            <v>10700</v>
          </cell>
          <cell r="L7">
            <v>0</v>
          </cell>
          <cell r="M7">
            <v>10700</v>
          </cell>
          <cell r="O7">
            <v>0</v>
          </cell>
          <cell r="P7">
            <v>0</v>
          </cell>
        </row>
        <row r="8">
          <cell r="A8" t="str">
            <v>AA59-10006P</v>
          </cell>
          <cell r="B8">
            <v>0</v>
          </cell>
          <cell r="C8">
            <v>0</v>
          </cell>
          <cell r="D8">
            <v>0</v>
          </cell>
          <cell r="E8">
            <v>500</v>
          </cell>
          <cell r="F8">
            <v>500</v>
          </cell>
          <cell r="G8">
            <v>0</v>
          </cell>
          <cell r="J8">
            <v>200</v>
          </cell>
          <cell r="K8">
            <v>479400</v>
          </cell>
          <cell r="L8">
            <v>200</v>
          </cell>
          <cell r="M8">
            <v>479400</v>
          </cell>
          <cell r="O8">
            <v>300</v>
          </cell>
          <cell r="P8">
            <v>300</v>
          </cell>
        </row>
        <row r="9">
          <cell r="A9" t="str">
            <v>TM-34</v>
          </cell>
          <cell r="B9">
            <v>595</v>
          </cell>
          <cell r="C9">
            <v>0</v>
          </cell>
          <cell r="D9">
            <v>554</v>
          </cell>
          <cell r="E9">
            <v>500</v>
          </cell>
          <cell r="F9">
            <v>500</v>
          </cell>
          <cell r="G9">
            <v>554</v>
          </cell>
          <cell r="H9">
            <v>0</v>
          </cell>
          <cell r="I9">
            <v>0</v>
          </cell>
          <cell r="J9">
            <v>200</v>
          </cell>
          <cell r="K9">
            <v>490100</v>
          </cell>
          <cell r="L9">
            <v>200</v>
          </cell>
          <cell r="M9">
            <v>490100</v>
          </cell>
          <cell r="N9">
            <v>0</v>
          </cell>
          <cell r="O9">
            <v>300</v>
          </cell>
          <cell r="P9">
            <v>854</v>
          </cell>
        </row>
        <row r="10">
          <cell r="A10" t="str">
            <v>3F14-00036-021</v>
          </cell>
          <cell r="B10">
            <v>0</v>
          </cell>
          <cell r="C10">
            <v>0</v>
          </cell>
          <cell r="D10">
            <v>0</v>
          </cell>
          <cell r="G10">
            <v>0</v>
          </cell>
          <cell r="L10">
            <v>0</v>
          </cell>
          <cell r="M10">
            <v>0</v>
          </cell>
          <cell r="O10">
            <v>0</v>
          </cell>
          <cell r="P10">
            <v>0</v>
          </cell>
        </row>
        <row r="11">
          <cell r="A11" t="str">
            <v>TM-36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3F14-00037-120</v>
          </cell>
          <cell r="B12">
            <v>50</v>
          </cell>
          <cell r="C12">
            <v>0</v>
          </cell>
          <cell r="D12">
            <v>50</v>
          </cell>
          <cell r="G12">
            <v>50</v>
          </cell>
          <cell r="L12">
            <v>0</v>
          </cell>
          <cell r="M12">
            <v>0</v>
          </cell>
          <cell r="O12">
            <v>0</v>
          </cell>
          <cell r="P12">
            <v>50</v>
          </cell>
        </row>
        <row r="13">
          <cell r="A13" t="str">
            <v>3F14-00037-130</v>
          </cell>
          <cell r="B13">
            <v>0</v>
          </cell>
          <cell r="C13">
            <v>0</v>
          </cell>
          <cell r="D13">
            <v>0</v>
          </cell>
          <cell r="G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</row>
        <row r="14">
          <cell r="A14" t="str">
            <v>3F14-00037-140</v>
          </cell>
          <cell r="B14">
            <v>0</v>
          </cell>
          <cell r="C14">
            <v>0</v>
          </cell>
          <cell r="D14">
            <v>0</v>
          </cell>
          <cell r="G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</row>
        <row r="15">
          <cell r="A15" t="str">
            <v>3F14-00037-150</v>
          </cell>
          <cell r="B15">
            <v>0</v>
          </cell>
          <cell r="C15">
            <v>0</v>
          </cell>
          <cell r="D15">
            <v>0</v>
          </cell>
          <cell r="G15">
            <v>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</row>
        <row r="16">
          <cell r="A16" t="str">
            <v>AA59-10012G</v>
          </cell>
          <cell r="B16">
            <v>0</v>
          </cell>
          <cell r="C16">
            <v>0</v>
          </cell>
          <cell r="D16">
            <v>0</v>
          </cell>
          <cell r="G16">
            <v>0</v>
          </cell>
          <cell r="L16">
            <v>0</v>
          </cell>
          <cell r="M16">
            <v>0</v>
          </cell>
          <cell r="O16">
            <v>0</v>
          </cell>
          <cell r="P16">
            <v>0</v>
          </cell>
        </row>
        <row r="17">
          <cell r="A17" t="str">
            <v>AA59-10012B</v>
          </cell>
          <cell r="B17">
            <v>0</v>
          </cell>
          <cell r="C17">
            <v>0</v>
          </cell>
          <cell r="D17">
            <v>0</v>
          </cell>
          <cell r="G17">
            <v>0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</row>
        <row r="18">
          <cell r="A18" t="str">
            <v>AA59-10012D</v>
          </cell>
          <cell r="B18">
            <v>0</v>
          </cell>
          <cell r="C18">
            <v>0</v>
          </cell>
          <cell r="D18">
            <v>0</v>
          </cell>
          <cell r="G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</row>
        <row r="19">
          <cell r="A19" t="str">
            <v>AA59-10012E</v>
          </cell>
          <cell r="B19">
            <v>0</v>
          </cell>
          <cell r="C19">
            <v>0</v>
          </cell>
          <cell r="D19">
            <v>0</v>
          </cell>
          <cell r="G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</row>
        <row r="20">
          <cell r="A20" t="str">
            <v>AA59-10012G</v>
          </cell>
          <cell r="B20">
            <v>0</v>
          </cell>
          <cell r="C20">
            <v>0</v>
          </cell>
          <cell r="D20">
            <v>0</v>
          </cell>
          <cell r="G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</row>
        <row r="21">
          <cell r="A21" t="str">
            <v>AA59-10012J</v>
          </cell>
          <cell r="B21">
            <v>0</v>
          </cell>
          <cell r="C21">
            <v>0</v>
          </cell>
          <cell r="D21">
            <v>0</v>
          </cell>
          <cell r="G21">
            <v>0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</row>
        <row r="22">
          <cell r="A22" t="str">
            <v>AA59-10012P</v>
          </cell>
          <cell r="B22">
            <v>0</v>
          </cell>
          <cell r="C22">
            <v>0</v>
          </cell>
          <cell r="D22">
            <v>0</v>
          </cell>
          <cell r="E22">
            <v>300</v>
          </cell>
          <cell r="F22">
            <v>300</v>
          </cell>
          <cell r="G22">
            <v>0</v>
          </cell>
          <cell r="J22">
            <v>300</v>
          </cell>
          <cell r="K22">
            <v>1150200</v>
          </cell>
          <cell r="L22">
            <v>300</v>
          </cell>
          <cell r="M22">
            <v>1150200</v>
          </cell>
          <cell r="O22">
            <v>0</v>
          </cell>
          <cell r="P22">
            <v>0</v>
          </cell>
        </row>
        <row r="23">
          <cell r="A23" t="str">
            <v>3F14-00037-151</v>
          </cell>
          <cell r="B23">
            <v>0</v>
          </cell>
          <cell r="C23">
            <v>0</v>
          </cell>
          <cell r="D23">
            <v>0</v>
          </cell>
          <cell r="G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</row>
        <row r="24">
          <cell r="A24" t="str">
            <v>TM-37</v>
          </cell>
          <cell r="B24">
            <v>50</v>
          </cell>
          <cell r="C24">
            <v>0</v>
          </cell>
          <cell r="D24">
            <v>50</v>
          </cell>
          <cell r="E24">
            <v>300</v>
          </cell>
          <cell r="F24">
            <v>300</v>
          </cell>
          <cell r="G24">
            <v>50</v>
          </cell>
          <cell r="H24">
            <v>0</v>
          </cell>
          <cell r="I24">
            <v>0</v>
          </cell>
          <cell r="J24">
            <v>300</v>
          </cell>
          <cell r="K24">
            <v>1150200</v>
          </cell>
          <cell r="L24">
            <v>300</v>
          </cell>
          <cell r="M24">
            <v>1150200</v>
          </cell>
          <cell r="N24">
            <v>0</v>
          </cell>
          <cell r="O24">
            <v>0</v>
          </cell>
          <cell r="P24">
            <v>50</v>
          </cell>
        </row>
        <row r="25">
          <cell r="A25" t="str">
            <v>3F14-00038-291</v>
          </cell>
          <cell r="B25">
            <v>0</v>
          </cell>
          <cell r="C25">
            <v>0</v>
          </cell>
          <cell r="D25">
            <v>0</v>
          </cell>
          <cell r="G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</row>
        <row r="26">
          <cell r="A26" t="str">
            <v>3F14-00038-300</v>
          </cell>
          <cell r="B26">
            <v>78</v>
          </cell>
          <cell r="C26">
            <v>0</v>
          </cell>
          <cell r="D26">
            <v>78</v>
          </cell>
          <cell r="G26">
            <v>78</v>
          </cell>
          <cell r="L26">
            <v>0</v>
          </cell>
          <cell r="M26">
            <v>0</v>
          </cell>
          <cell r="O26">
            <v>0</v>
          </cell>
          <cell r="P26">
            <v>78</v>
          </cell>
        </row>
        <row r="27">
          <cell r="A27" t="str">
            <v>AA59-10014A</v>
          </cell>
          <cell r="B27">
            <v>0</v>
          </cell>
          <cell r="C27">
            <v>0</v>
          </cell>
          <cell r="D27">
            <v>0</v>
          </cell>
          <cell r="E27">
            <v>200</v>
          </cell>
          <cell r="F27">
            <v>200</v>
          </cell>
          <cell r="G27">
            <v>0</v>
          </cell>
          <cell r="H27">
            <v>200</v>
          </cell>
          <cell r="I27">
            <v>527400</v>
          </cell>
          <cell r="L27">
            <v>200</v>
          </cell>
          <cell r="M27">
            <v>527400</v>
          </cell>
          <cell r="O27">
            <v>0</v>
          </cell>
          <cell r="P27">
            <v>0</v>
          </cell>
        </row>
        <row r="28">
          <cell r="A28" t="str">
            <v>AA59-10014R</v>
          </cell>
          <cell r="B28">
            <v>0</v>
          </cell>
          <cell r="C28">
            <v>0</v>
          </cell>
          <cell r="D28">
            <v>0</v>
          </cell>
          <cell r="G28">
            <v>0</v>
          </cell>
          <cell r="L28">
            <v>0</v>
          </cell>
          <cell r="M28">
            <v>0</v>
          </cell>
          <cell r="O28">
            <v>0</v>
          </cell>
          <cell r="P28">
            <v>0</v>
          </cell>
        </row>
        <row r="29">
          <cell r="A29" t="str">
            <v>AA59-10016M</v>
          </cell>
          <cell r="B29">
            <v>0</v>
          </cell>
          <cell r="C29">
            <v>0</v>
          </cell>
          <cell r="D29">
            <v>0</v>
          </cell>
          <cell r="G29">
            <v>0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</row>
        <row r="30">
          <cell r="A30" t="str">
            <v>TM-38</v>
          </cell>
          <cell r="B30">
            <v>81</v>
          </cell>
          <cell r="C30">
            <v>0</v>
          </cell>
          <cell r="D30">
            <v>78</v>
          </cell>
          <cell r="E30">
            <v>200</v>
          </cell>
          <cell r="F30">
            <v>200</v>
          </cell>
          <cell r="G30">
            <v>78</v>
          </cell>
          <cell r="H30">
            <v>200</v>
          </cell>
          <cell r="I30">
            <v>527400</v>
          </cell>
          <cell r="J30">
            <v>0</v>
          </cell>
          <cell r="K30">
            <v>0</v>
          </cell>
          <cell r="L30">
            <v>200</v>
          </cell>
          <cell r="M30">
            <v>527400</v>
          </cell>
          <cell r="N30">
            <v>0</v>
          </cell>
          <cell r="O30">
            <v>0</v>
          </cell>
          <cell r="P30">
            <v>128</v>
          </cell>
        </row>
        <row r="31">
          <cell r="A31" t="str">
            <v>AA59-10020A</v>
          </cell>
          <cell r="B31">
            <v>0</v>
          </cell>
          <cell r="C31">
            <v>500</v>
          </cell>
          <cell r="D31">
            <v>500</v>
          </cell>
          <cell r="G31">
            <v>0</v>
          </cell>
          <cell r="H31">
            <v>500</v>
          </cell>
          <cell r="I31">
            <v>2087000</v>
          </cell>
          <cell r="L31">
            <v>500</v>
          </cell>
          <cell r="M31">
            <v>2087000</v>
          </cell>
          <cell r="O31">
            <v>0</v>
          </cell>
          <cell r="P31">
            <v>0</v>
          </cell>
        </row>
        <row r="32">
          <cell r="A32" t="str">
            <v>AA59-10020C</v>
          </cell>
          <cell r="B32">
            <v>0</v>
          </cell>
          <cell r="C32">
            <v>800</v>
          </cell>
          <cell r="D32">
            <v>800</v>
          </cell>
          <cell r="G32">
            <v>0</v>
          </cell>
          <cell r="H32">
            <v>700</v>
          </cell>
          <cell r="I32">
            <v>2326140</v>
          </cell>
          <cell r="L32">
            <v>700</v>
          </cell>
          <cell r="M32">
            <v>2326140</v>
          </cell>
          <cell r="O32">
            <v>100</v>
          </cell>
          <cell r="P32">
            <v>100</v>
          </cell>
        </row>
        <row r="33">
          <cell r="A33" t="str">
            <v>AA59-10020D</v>
          </cell>
          <cell r="B33">
            <v>0</v>
          </cell>
          <cell r="C33">
            <v>0</v>
          </cell>
          <cell r="D33">
            <v>0</v>
          </cell>
          <cell r="G33">
            <v>0</v>
          </cell>
          <cell r="K33">
            <v>44000</v>
          </cell>
          <cell r="L33">
            <v>0</v>
          </cell>
          <cell r="M33">
            <v>44000</v>
          </cell>
          <cell r="O33">
            <v>0</v>
          </cell>
          <cell r="P33">
            <v>0</v>
          </cell>
        </row>
        <row r="34">
          <cell r="A34" t="str">
            <v>AA59-10020L</v>
          </cell>
          <cell r="B34">
            <v>0</v>
          </cell>
          <cell r="C34">
            <v>0</v>
          </cell>
          <cell r="D34">
            <v>0</v>
          </cell>
          <cell r="G34">
            <v>0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</row>
        <row r="35">
          <cell r="A35" t="str">
            <v>AA59-10020M(141)</v>
          </cell>
          <cell r="B35">
            <v>0</v>
          </cell>
          <cell r="C35">
            <v>0</v>
          </cell>
          <cell r="D35">
            <v>0</v>
          </cell>
          <cell r="G35">
            <v>0</v>
          </cell>
          <cell r="L35">
            <v>0</v>
          </cell>
          <cell r="M35">
            <v>0</v>
          </cell>
          <cell r="O35">
            <v>0</v>
          </cell>
          <cell r="P35">
            <v>0</v>
          </cell>
        </row>
        <row r="36">
          <cell r="A36" t="str">
            <v>AA59-10020N</v>
          </cell>
          <cell r="B36">
            <v>0</v>
          </cell>
          <cell r="C36">
            <v>0</v>
          </cell>
          <cell r="D36">
            <v>0</v>
          </cell>
          <cell r="G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</row>
        <row r="37">
          <cell r="A37" t="str">
            <v>AA59-10020R</v>
          </cell>
          <cell r="B37">
            <v>0</v>
          </cell>
          <cell r="C37">
            <v>0</v>
          </cell>
          <cell r="D37">
            <v>0</v>
          </cell>
          <cell r="G37">
            <v>0</v>
          </cell>
          <cell r="L37">
            <v>0</v>
          </cell>
          <cell r="M37">
            <v>0</v>
          </cell>
          <cell r="O37">
            <v>0</v>
          </cell>
          <cell r="P37">
            <v>0</v>
          </cell>
        </row>
        <row r="38">
          <cell r="A38" t="str">
            <v>AA59-10020S</v>
          </cell>
          <cell r="B38">
            <v>0</v>
          </cell>
          <cell r="C38">
            <v>0</v>
          </cell>
          <cell r="D38">
            <v>0</v>
          </cell>
          <cell r="G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</row>
        <row r="39">
          <cell r="A39" t="str">
            <v>AA59-10021C</v>
          </cell>
          <cell r="B39">
            <v>0</v>
          </cell>
          <cell r="C39">
            <v>0</v>
          </cell>
          <cell r="D39">
            <v>0</v>
          </cell>
          <cell r="G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</row>
        <row r="40">
          <cell r="A40" t="str">
            <v>AA59-10021E</v>
          </cell>
          <cell r="B40">
            <v>0</v>
          </cell>
          <cell r="C40">
            <v>0</v>
          </cell>
          <cell r="D40">
            <v>0</v>
          </cell>
          <cell r="G40">
            <v>0</v>
          </cell>
          <cell r="L40">
            <v>0</v>
          </cell>
          <cell r="M40">
            <v>0</v>
          </cell>
          <cell r="O40">
            <v>0</v>
          </cell>
          <cell r="P40">
            <v>0</v>
          </cell>
        </row>
        <row r="41">
          <cell r="A41" t="str">
            <v>TM-40</v>
          </cell>
          <cell r="B41">
            <v>0</v>
          </cell>
          <cell r="C41">
            <v>1300</v>
          </cell>
          <cell r="D41">
            <v>1300</v>
          </cell>
          <cell r="E41">
            <v>0</v>
          </cell>
          <cell r="F41">
            <v>0</v>
          </cell>
          <cell r="G41">
            <v>0</v>
          </cell>
          <cell r="H41">
            <v>1200</v>
          </cell>
          <cell r="I41">
            <v>4413140</v>
          </cell>
          <cell r="J41">
            <v>0</v>
          </cell>
          <cell r="K41">
            <v>44000</v>
          </cell>
          <cell r="L41">
            <v>1200</v>
          </cell>
          <cell r="M41">
            <v>4457140</v>
          </cell>
          <cell r="N41">
            <v>0</v>
          </cell>
          <cell r="O41">
            <v>100</v>
          </cell>
          <cell r="P41">
            <v>100</v>
          </cell>
        </row>
        <row r="42">
          <cell r="A42" t="str">
            <v>AA59-10027R</v>
          </cell>
          <cell r="B42">
            <v>0</v>
          </cell>
          <cell r="C42">
            <v>0</v>
          </cell>
          <cell r="D42">
            <v>0</v>
          </cell>
          <cell r="G42">
            <v>0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</row>
        <row r="43">
          <cell r="A43" t="str">
            <v>AA59-10075F</v>
          </cell>
          <cell r="B43">
            <v>0</v>
          </cell>
          <cell r="C43">
            <v>0</v>
          </cell>
          <cell r="D43">
            <v>0</v>
          </cell>
          <cell r="G43">
            <v>0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</row>
        <row r="44">
          <cell r="A44" t="str">
            <v>AA59-10075K</v>
          </cell>
          <cell r="B44">
            <v>0</v>
          </cell>
          <cell r="C44">
            <v>0</v>
          </cell>
          <cell r="D44">
            <v>0</v>
          </cell>
          <cell r="E44">
            <v>300</v>
          </cell>
          <cell r="F44">
            <v>300</v>
          </cell>
          <cell r="G44">
            <v>0</v>
          </cell>
          <cell r="H44">
            <v>300</v>
          </cell>
          <cell r="I44">
            <v>805273</v>
          </cell>
          <cell r="L44">
            <v>300</v>
          </cell>
          <cell r="M44">
            <v>805273</v>
          </cell>
          <cell r="O44">
            <v>0</v>
          </cell>
          <cell r="P44">
            <v>0</v>
          </cell>
        </row>
        <row r="45">
          <cell r="A45" t="str">
            <v>AA59-10075L</v>
          </cell>
          <cell r="B45">
            <v>0</v>
          </cell>
          <cell r="C45">
            <v>0</v>
          </cell>
          <cell r="D45">
            <v>0</v>
          </cell>
          <cell r="G45">
            <v>0</v>
          </cell>
          <cell r="L45">
            <v>0</v>
          </cell>
          <cell r="M45">
            <v>0</v>
          </cell>
          <cell r="O45">
            <v>0</v>
          </cell>
          <cell r="P45">
            <v>0</v>
          </cell>
        </row>
        <row r="46">
          <cell r="A46" t="str">
            <v>AA59-10076P</v>
          </cell>
          <cell r="B46">
            <v>0</v>
          </cell>
          <cell r="C46">
            <v>0</v>
          </cell>
          <cell r="D46">
            <v>0</v>
          </cell>
          <cell r="G46">
            <v>0</v>
          </cell>
          <cell r="L46">
            <v>0</v>
          </cell>
          <cell r="M46">
            <v>0</v>
          </cell>
          <cell r="O46">
            <v>0</v>
          </cell>
          <cell r="P46">
            <v>0</v>
          </cell>
        </row>
        <row r="47">
          <cell r="A47" t="str">
            <v>AA59-10077K</v>
          </cell>
          <cell r="B47">
            <v>0</v>
          </cell>
          <cell r="C47">
            <v>0</v>
          </cell>
          <cell r="D47">
            <v>0</v>
          </cell>
          <cell r="E47">
            <v>200</v>
          </cell>
          <cell r="F47">
            <v>200</v>
          </cell>
          <cell r="G47">
            <v>0</v>
          </cell>
          <cell r="H47">
            <v>200</v>
          </cell>
          <cell r="I47">
            <v>541000</v>
          </cell>
          <cell r="L47">
            <v>200</v>
          </cell>
          <cell r="M47">
            <v>541000</v>
          </cell>
          <cell r="O47">
            <v>0</v>
          </cell>
          <cell r="P47">
            <v>0</v>
          </cell>
        </row>
        <row r="48">
          <cell r="A48" t="str">
            <v>AA59-10077L</v>
          </cell>
          <cell r="B48">
            <v>0</v>
          </cell>
          <cell r="C48">
            <v>0</v>
          </cell>
          <cell r="D48">
            <v>0</v>
          </cell>
          <cell r="E48">
            <v>270</v>
          </cell>
          <cell r="F48">
            <v>270</v>
          </cell>
          <cell r="G48">
            <v>0</v>
          </cell>
          <cell r="J48">
            <v>270</v>
          </cell>
          <cell r="K48">
            <v>722790</v>
          </cell>
          <cell r="L48">
            <v>270</v>
          </cell>
          <cell r="M48">
            <v>722790</v>
          </cell>
          <cell r="O48">
            <v>0</v>
          </cell>
          <cell r="P48">
            <v>0</v>
          </cell>
        </row>
        <row r="49">
          <cell r="A49" t="str">
            <v>AA59-10078W</v>
          </cell>
          <cell r="B49">
            <v>2541</v>
          </cell>
          <cell r="C49">
            <v>0</v>
          </cell>
          <cell r="D49">
            <v>2541</v>
          </cell>
          <cell r="G49">
            <v>2541</v>
          </cell>
          <cell r="L49">
            <v>0</v>
          </cell>
          <cell r="M49">
            <v>0</v>
          </cell>
          <cell r="O49">
            <v>0</v>
          </cell>
          <cell r="P49">
            <v>2541</v>
          </cell>
        </row>
        <row r="50">
          <cell r="A50" t="str">
            <v>AA59-10093G</v>
          </cell>
          <cell r="B50">
            <v>120</v>
          </cell>
          <cell r="C50">
            <v>0</v>
          </cell>
          <cell r="D50">
            <v>120</v>
          </cell>
          <cell r="G50">
            <v>120</v>
          </cell>
          <cell r="L50">
            <v>0</v>
          </cell>
          <cell r="M50">
            <v>0</v>
          </cell>
          <cell r="O50">
            <v>0</v>
          </cell>
          <cell r="P50">
            <v>120</v>
          </cell>
        </row>
        <row r="51">
          <cell r="A51" t="str">
            <v>AA59-00007B</v>
          </cell>
          <cell r="B51">
            <v>0</v>
          </cell>
          <cell r="C51">
            <v>0</v>
          </cell>
          <cell r="D51">
            <v>0</v>
          </cell>
          <cell r="E51">
            <v>500</v>
          </cell>
          <cell r="F51">
            <v>500</v>
          </cell>
          <cell r="G51">
            <v>0</v>
          </cell>
          <cell r="J51">
            <v>500</v>
          </cell>
          <cell r="K51">
            <v>1425000</v>
          </cell>
          <cell r="L51">
            <v>500</v>
          </cell>
          <cell r="M51">
            <v>1425000</v>
          </cell>
          <cell r="O51">
            <v>0</v>
          </cell>
          <cell r="P51">
            <v>0</v>
          </cell>
        </row>
        <row r="52">
          <cell r="A52" t="str">
            <v>AA59-00007C</v>
          </cell>
          <cell r="C52">
            <v>0</v>
          </cell>
          <cell r="D52">
            <v>0</v>
          </cell>
          <cell r="E52">
            <v>1883</v>
          </cell>
          <cell r="F52">
            <v>1500</v>
          </cell>
          <cell r="G52">
            <v>383</v>
          </cell>
          <cell r="J52">
            <v>1500</v>
          </cell>
          <cell r="K52">
            <v>4275000</v>
          </cell>
          <cell r="L52">
            <v>1500</v>
          </cell>
          <cell r="M52">
            <v>4275000</v>
          </cell>
          <cell r="O52">
            <v>0</v>
          </cell>
          <cell r="P52">
            <v>383</v>
          </cell>
        </row>
        <row r="53">
          <cell r="A53" t="str">
            <v>AA59-00007D</v>
          </cell>
          <cell r="B53">
            <v>1000</v>
          </cell>
          <cell r="C53">
            <v>0</v>
          </cell>
          <cell r="D53">
            <v>1000</v>
          </cell>
          <cell r="E53">
            <v>6297</v>
          </cell>
          <cell r="F53">
            <v>6700</v>
          </cell>
          <cell r="G53">
            <v>597</v>
          </cell>
          <cell r="H53">
            <v>2000</v>
          </cell>
          <cell r="I53">
            <v>6440000</v>
          </cell>
          <cell r="J53">
            <v>4700</v>
          </cell>
          <cell r="K53">
            <v>15134000</v>
          </cell>
          <cell r="L53">
            <v>6700</v>
          </cell>
          <cell r="M53">
            <v>21574000</v>
          </cell>
          <cell r="O53">
            <v>0</v>
          </cell>
          <cell r="P53">
            <v>597</v>
          </cell>
        </row>
        <row r="54">
          <cell r="A54" t="str">
            <v>AA59-00007E</v>
          </cell>
          <cell r="B54">
            <v>0</v>
          </cell>
          <cell r="C54">
            <v>0</v>
          </cell>
          <cell r="D54">
            <v>0</v>
          </cell>
          <cell r="E54">
            <v>500</v>
          </cell>
          <cell r="F54">
            <v>500</v>
          </cell>
          <cell r="G54">
            <v>0</v>
          </cell>
          <cell r="J54">
            <v>500</v>
          </cell>
          <cell r="K54">
            <v>1525000</v>
          </cell>
          <cell r="L54">
            <v>500</v>
          </cell>
          <cell r="M54">
            <v>1525000</v>
          </cell>
          <cell r="O54">
            <v>0</v>
          </cell>
          <cell r="P54">
            <v>0</v>
          </cell>
        </row>
        <row r="55">
          <cell r="A55" t="str">
            <v>AA59-00007G</v>
          </cell>
          <cell r="B55">
            <v>0</v>
          </cell>
          <cell r="C55">
            <v>0</v>
          </cell>
          <cell r="D55">
            <v>0</v>
          </cell>
          <cell r="E55">
            <v>2000</v>
          </cell>
          <cell r="F55">
            <v>2000</v>
          </cell>
          <cell r="G55">
            <v>0</v>
          </cell>
          <cell r="J55">
            <v>2000</v>
          </cell>
          <cell r="K55">
            <v>6100000</v>
          </cell>
          <cell r="L55">
            <v>2000</v>
          </cell>
          <cell r="M55">
            <v>6100000</v>
          </cell>
          <cell r="O55">
            <v>0</v>
          </cell>
          <cell r="P55">
            <v>0</v>
          </cell>
        </row>
        <row r="56">
          <cell r="A56" t="str">
            <v>AA59-00014A</v>
          </cell>
          <cell r="B56">
            <v>0</v>
          </cell>
          <cell r="C56">
            <v>0</v>
          </cell>
          <cell r="D56">
            <v>0</v>
          </cell>
          <cell r="G56">
            <v>0</v>
          </cell>
          <cell r="L56">
            <v>0</v>
          </cell>
          <cell r="M56">
            <v>0</v>
          </cell>
          <cell r="O56">
            <v>0</v>
          </cell>
          <cell r="P56">
            <v>0</v>
          </cell>
        </row>
        <row r="57">
          <cell r="A57" t="str">
            <v>AA59-00006B</v>
          </cell>
          <cell r="B57">
            <v>0</v>
          </cell>
          <cell r="C57">
            <v>0</v>
          </cell>
          <cell r="D57">
            <v>0</v>
          </cell>
          <cell r="G57">
            <v>0</v>
          </cell>
          <cell r="L57">
            <v>0</v>
          </cell>
          <cell r="M57">
            <v>0</v>
          </cell>
          <cell r="O57">
            <v>0</v>
          </cell>
          <cell r="P57">
            <v>0</v>
          </cell>
        </row>
        <row r="58">
          <cell r="A58" t="str">
            <v>AA59-00006C</v>
          </cell>
          <cell r="B58">
            <v>0</v>
          </cell>
          <cell r="C58">
            <v>0</v>
          </cell>
          <cell r="D58">
            <v>0</v>
          </cell>
          <cell r="G58">
            <v>0</v>
          </cell>
          <cell r="L58">
            <v>0</v>
          </cell>
          <cell r="M58">
            <v>0</v>
          </cell>
          <cell r="O58">
            <v>0</v>
          </cell>
          <cell r="P58">
            <v>0</v>
          </cell>
        </row>
        <row r="59">
          <cell r="A59" t="str">
            <v>TM-48</v>
          </cell>
          <cell r="B59">
            <v>3687</v>
          </cell>
          <cell r="C59">
            <v>0</v>
          </cell>
          <cell r="D59">
            <v>3661</v>
          </cell>
          <cell r="E59">
            <v>11950</v>
          </cell>
          <cell r="F59">
            <v>11970</v>
          </cell>
          <cell r="G59">
            <v>3641</v>
          </cell>
          <cell r="H59">
            <v>2500</v>
          </cell>
          <cell r="I59">
            <v>7786273</v>
          </cell>
          <cell r="J59">
            <v>9470</v>
          </cell>
          <cell r="K59">
            <v>29181790</v>
          </cell>
          <cell r="L59">
            <v>11970</v>
          </cell>
          <cell r="M59">
            <v>36968063</v>
          </cell>
          <cell r="N59">
            <v>0</v>
          </cell>
          <cell r="O59">
            <v>0</v>
          </cell>
          <cell r="P59">
            <v>3641</v>
          </cell>
        </row>
        <row r="60">
          <cell r="A60" t="str">
            <v>AA59-10089L</v>
          </cell>
          <cell r="B60">
            <v>0</v>
          </cell>
          <cell r="C60">
            <v>0</v>
          </cell>
          <cell r="D60">
            <v>0</v>
          </cell>
          <cell r="G60">
            <v>0</v>
          </cell>
          <cell r="I60">
            <v>173800</v>
          </cell>
          <cell r="L60">
            <v>0</v>
          </cell>
          <cell r="M60">
            <v>173800</v>
          </cell>
          <cell r="O60">
            <v>0</v>
          </cell>
          <cell r="P60">
            <v>0</v>
          </cell>
        </row>
        <row r="61">
          <cell r="A61" t="str">
            <v>AA59-10031F</v>
          </cell>
          <cell r="B61">
            <v>0</v>
          </cell>
          <cell r="C61">
            <v>0</v>
          </cell>
          <cell r="D61">
            <v>0</v>
          </cell>
          <cell r="E61">
            <v>100</v>
          </cell>
          <cell r="F61">
            <v>100</v>
          </cell>
          <cell r="G61">
            <v>0</v>
          </cell>
          <cell r="J61">
            <v>100</v>
          </cell>
          <cell r="K61">
            <v>277600</v>
          </cell>
          <cell r="L61">
            <v>100</v>
          </cell>
          <cell r="M61">
            <v>277600</v>
          </cell>
          <cell r="O61">
            <v>0</v>
          </cell>
          <cell r="P61">
            <v>0</v>
          </cell>
        </row>
        <row r="62">
          <cell r="A62" t="str">
            <v>AA59-10081F</v>
          </cell>
          <cell r="B62">
            <v>0</v>
          </cell>
          <cell r="C62">
            <v>0</v>
          </cell>
          <cell r="D62">
            <v>0</v>
          </cell>
          <cell r="G62">
            <v>0</v>
          </cell>
          <cell r="L62">
            <v>0</v>
          </cell>
          <cell r="M62">
            <v>0</v>
          </cell>
          <cell r="O62">
            <v>0</v>
          </cell>
          <cell r="P62">
            <v>0</v>
          </cell>
        </row>
        <row r="63">
          <cell r="A63" t="str">
            <v>AA59-10081L</v>
          </cell>
          <cell r="B63">
            <v>0</v>
          </cell>
          <cell r="C63">
            <v>0</v>
          </cell>
          <cell r="D63">
            <v>0</v>
          </cell>
          <cell r="G63">
            <v>0</v>
          </cell>
          <cell r="L63">
            <v>0</v>
          </cell>
          <cell r="M63">
            <v>0</v>
          </cell>
          <cell r="O63">
            <v>0</v>
          </cell>
          <cell r="P63">
            <v>0</v>
          </cell>
        </row>
        <row r="64">
          <cell r="A64" t="str">
            <v>AA59-10081M</v>
          </cell>
          <cell r="B64">
            <v>457</v>
          </cell>
          <cell r="C64">
            <v>0</v>
          </cell>
          <cell r="D64">
            <v>457</v>
          </cell>
          <cell r="E64">
            <v>-457</v>
          </cell>
          <cell r="G64">
            <v>0</v>
          </cell>
          <cell r="L64">
            <v>0</v>
          </cell>
          <cell r="M64">
            <v>0</v>
          </cell>
          <cell r="O64">
            <v>0</v>
          </cell>
          <cell r="P64">
            <v>0</v>
          </cell>
        </row>
        <row r="65">
          <cell r="A65" t="str">
            <v>AA59-10081N</v>
          </cell>
          <cell r="B65">
            <v>0</v>
          </cell>
          <cell r="C65">
            <v>0</v>
          </cell>
          <cell r="D65">
            <v>0</v>
          </cell>
          <cell r="G65">
            <v>0</v>
          </cell>
          <cell r="L65">
            <v>0</v>
          </cell>
          <cell r="M65">
            <v>0</v>
          </cell>
          <cell r="O65">
            <v>0</v>
          </cell>
          <cell r="P65">
            <v>0</v>
          </cell>
        </row>
        <row r="66">
          <cell r="A66" t="str">
            <v>AA59-10081V</v>
          </cell>
          <cell r="B66">
            <v>0</v>
          </cell>
          <cell r="C66">
            <v>0</v>
          </cell>
          <cell r="D66">
            <v>0</v>
          </cell>
          <cell r="G66">
            <v>0</v>
          </cell>
          <cell r="L66">
            <v>0</v>
          </cell>
          <cell r="M66">
            <v>0</v>
          </cell>
          <cell r="O66">
            <v>0</v>
          </cell>
          <cell r="P66">
            <v>0</v>
          </cell>
        </row>
        <row r="67">
          <cell r="A67" t="str">
            <v>TM-51</v>
          </cell>
          <cell r="B67">
            <v>457</v>
          </cell>
          <cell r="C67">
            <v>0</v>
          </cell>
          <cell r="D67">
            <v>457</v>
          </cell>
          <cell r="E67">
            <v>-357</v>
          </cell>
          <cell r="F67">
            <v>100</v>
          </cell>
          <cell r="G67">
            <v>0</v>
          </cell>
          <cell r="H67">
            <v>0</v>
          </cell>
          <cell r="I67">
            <v>173800</v>
          </cell>
          <cell r="J67">
            <v>100</v>
          </cell>
          <cell r="K67">
            <v>277600</v>
          </cell>
          <cell r="L67">
            <v>100</v>
          </cell>
          <cell r="M67">
            <v>451400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AA59-10072A</v>
          </cell>
          <cell r="B68">
            <v>400</v>
          </cell>
          <cell r="C68">
            <v>0</v>
          </cell>
          <cell r="D68">
            <v>400</v>
          </cell>
          <cell r="F68">
            <v>8</v>
          </cell>
          <cell r="G68">
            <v>392</v>
          </cell>
          <cell r="L68">
            <v>0</v>
          </cell>
          <cell r="M68">
            <v>0</v>
          </cell>
          <cell r="O68">
            <v>8</v>
          </cell>
          <cell r="P68">
            <v>400</v>
          </cell>
        </row>
        <row r="69">
          <cell r="A69" t="str">
            <v>AA59-10072B</v>
          </cell>
          <cell r="B69">
            <v>200</v>
          </cell>
          <cell r="C69">
            <v>0</v>
          </cell>
          <cell r="D69">
            <v>200</v>
          </cell>
          <cell r="F69">
            <v>200</v>
          </cell>
          <cell r="G69">
            <v>0</v>
          </cell>
          <cell r="J69">
            <v>200</v>
          </cell>
          <cell r="K69">
            <v>1505600</v>
          </cell>
          <cell r="L69">
            <v>200</v>
          </cell>
          <cell r="M69">
            <v>1505600</v>
          </cell>
          <cell r="O69">
            <v>0</v>
          </cell>
          <cell r="P69">
            <v>0</v>
          </cell>
        </row>
        <row r="70">
          <cell r="A70" t="str">
            <v>TM-52</v>
          </cell>
          <cell r="B70">
            <v>600</v>
          </cell>
          <cell r="C70">
            <v>0</v>
          </cell>
          <cell r="D70">
            <v>600</v>
          </cell>
          <cell r="E70">
            <v>0</v>
          </cell>
          <cell r="F70">
            <v>208</v>
          </cell>
          <cell r="G70">
            <v>392</v>
          </cell>
          <cell r="H70">
            <v>0</v>
          </cell>
          <cell r="I70">
            <v>0</v>
          </cell>
          <cell r="J70">
            <v>200</v>
          </cell>
          <cell r="K70">
            <v>1505600</v>
          </cell>
          <cell r="L70">
            <v>200</v>
          </cell>
          <cell r="M70">
            <v>1505600</v>
          </cell>
          <cell r="N70">
            <v>0</v>
          </cell>
          <cell r="O70">
            <v>8</v>
          </cell>
          <cell r="P70">
            <v>400</v>
          </cell>
        </row>
        <row r="71">
          <cell r="A71" t="str">
            <v>AA59-10094A</v>
          </cell>
          <cell r="B71">
            <v>138</v>
          </cell>
          <cell r="C71">
            <v>0</v>
          </cell>
          <cell r="D71">
            <v>138</v>
          </cell>
          <cell r="G71">
            <v>138</v>
          </cell>
          <cell r="L71">
            <v>0</v>
          </cell>
          <cell r="M71">
            <v>0</v>
          </cell>
          <cell r="O71">
            <v>0</v>
          </cell>
          <cell r="P71">
            <v>138</v>
          </cell>
        </row>
        <row r="72">
          <cell r="A72" t="str">
            <v>AA91-20058A</v>
          </cell>
          <cell r="B72">
            <v>0</v>
          </cell>
          <cell r="C72">
            <v>0</v>
          </cell>
          <cell r="D72">
            <v>0</v>
          </cell>
          <cell r="G72">
            <v>0</v>
          </cell>
          <cell r="L72">
            <v>0</v>
          </cell>
          <cell r="M72">
            <v>0</v>
          </cell>
          <cell r="O72">
            <v>0</v>
          </cell>
          <cell r="P72">
            <v>0</v>
          </cell>
        </row>
        <row r="73">
          <cell r="A73" t="str">
            <v>TM-55</v>
          </cell>
          <cell r="B73">
            <v>138</v>
          </cell>
          <cell r="C73">
            <v>0</v>
          </cell>
          <cell r="D73">
            <v>138</v>
          </cell>
          <cell r="E73">
            <v>0</v>
          </cell>
          <cell r="F73">
            <v>0</v>
          </cell>
          <cell r="G73">
            <v>138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138</v>
          </cell>
        </row>
        <row r="74">
          <cell r="A74" t="str">
            <v>AA59-10097B</v>
          </cell>
          <cell r="B74">
            <v>568</v>
          </cell>
          <cell r="C74">
            <v>0</v>
          </cell>
          <cell r="D74">
            <v>568</v>
          </cell>
          <cell r="E74">
            <v>442</v>
          </cell>
          <cell r="F74">
            <v>1010</v>
          </cell>
          <cell r="G74">
            <v>0</v>
          </cell>
          <cell r="H74">
            <v>710</v>
          </cell>
          <cell r="I74">
            <v>2790300</v>
          </cell>
          <cell r="J74">
            <v>300</v>
          </cell>
          <cell r="K74">
            <v>1179000</v>
          </cell>
          <cell r="L74">
            <v>1010</v>
          </cell>
          <cell r="M74">
            <v>3969300</v>
          </cell>
          <cell r="O74">
            <v>0</v>
          </cell>
          <cell r="P74">
            <v>0</v>
          </cell>
        </row>
        <row r="75">
          <cell r="A75" t="str">
            <v>AA91-20058B</v>
          </cell>
          <cell r="B75">
            <v>0</v>
          </cell>
          <cell r="C75">
            <v>0</v>
          </cell>
          <cell r="D75">
            <v>0</v>
          </cell>
          <cell r="E75">
            <v>700</v>
          </cell>
          <cell r="F75">
            <v>700</v>
          </cell>
          <cell r="G75">
            <v>0</v>
          </cell>
          <cell r="H75">
            <v>500</v>
          </cell>
          <cell r="I75">
            <v>3750000</v>
          </cell>
          <cell r="J75">
            <v>200</v>
          </cell>
          <cell r="K75">
            <v>1500000</v>
          </cell>
          <cell r="L75">
            <v>700</v>
          </cell>
          <cell r="M75">
            <v>5250000</v>
          </cell>
          <cell r="O75">
            <v>0</v>
          </cell>
          <cell r="P75">
            <v>0</v>
          </cell>
        </row>
        <row r="76">
          <cell r="A76" t="str">
            <v>TM-56</v>
          </cell>
          <cell r="B76">
            <v>568</v>
          </cell>
          <cell r="C76">
            <v>0</v>
          </cell>
          <cell r="D76">
            <v>568</v>
          </cell>
          <cell r="E76">
            <v>1142</v>
          </cell>
          <cell r="F76">
            <v>1710</v>
          </cell>
          <cell r="G76">
            <v>0</v>
          </cell>
          <cell r="H76">
            <v>1210</v>
          </cell>
          <cell r="I76">
            <v>6540300</v>
          </cell>
          <cell r="J76">
            <v>500</v>
          </cell>
          <cell r="K76">
            <v>2679000</v>
          </cell>
          <cell r="L76">
            <v>1710</v>
          </cell>
          <cell r="M76">
            <v>9219300</v>
          </cell>
          <cell r="N76">
            <v>0</v>
          </cell>
          <cell r="O76">
            <v>0</v>
          </cell>
          <cell r="P76">
            <v>0</v>
          </cell>
        </row>
        <row r="77">
          <cell r="A77" t="str">
            <v>AA59-10095B</v>
          </cell>
          <cell r="B77">
            <v>20</v>
          </cell>
          <cell r="C77">
            <v>0</v>
          </cell>
          <cell r="D77">
            <v>20</v>
          </cell>
          <cell r="E77">
            <v>180</v>
          </cell>
          <cell r="F77">
            <v>200</v>
          </cell>
          <cell r="G77">
            <v>0</v>
          </cell>
          <cell r="H77">
            <v>200</v>
          </cell>
          <cell r="I77">
            <v>410900</v>
          </cell>
          <cell r="L77">
            <v>200</v>
          </cell>
          <cell r="M77">
            <v>410900</v>
          </cell>
          <cell r="O77">
            <v>0</v>
          </cell>
          <cell r="P77">
            <v>0</v>
          </cell>
        </row>
        <row r="78">
          <cell r="A78" t="str">
            <v>AA59-10095Y</v>
          </cell>
          <cell r="B78">
            <v>100</v>
          </cell>
          <cell r="C78">
            <v>0</v>
          </cell>
          <cell r="D78">
            <v>100</v>
          </cell>
          <cell r="E78">
            <v>300</v>
          </cell>
          <cell r="F78">
            <v>400</v>
          </cell>
          <cell r="G78">
            <v>0</v>
          </cell>
          <cell r="H78">
            <v>100</v>
          </cell>
          <cell r="I78">
            <v>224100</v>
          </cell>
          <cell r="J78">
            <v>300</v>
          </cell>
          <cell r="K78">
            <v>597700</v>
          </cell>
          <cell r="L78">
            <v>400</v>
          </cell>
          <cell r="M78">
            <v>821800</v>
          </cell>
          <cell r="O78">
            <v>0</v>
          </cell>
          <cell r="P78">
            <v>0</v>
          </cell>
        </row>
        <row r="79">
          <cell r="A79" t="str">
            <v>AA59-10095Z</v>
          </cell>
          <cell r="B79">
            <v>3</v>
          </cell>
          <cell r="C79">
            <v>0</v>
          </cell>
          <cell r="D79">
            <v>3</v>
          </cell>
          <cell r="G79">
            <v>3</v>
          </cell>
          <cell r="L79">
            <v>0</v>
          </cell>
          <cell r="M79">
            <v>0</v>
          </cell>
          <cell r="O79">
            <v>0</v>
          </cell>
          <cell r="P79">
            <v>3</v>
          </cell>
        </row>
        <row r="80">
          <cell r="A80" t="str">
            <v>AA59-10131A</v>
          </cell>
          <cell r="B80">
            <v>0</v>
          </cell>
          <cell r="C80">
            <v>0</v>
          </cell>
          <cell r="D80">
            <v>0</v>
          </cell>
          <cell r="E80">
            <v>300</v>
          </cell>
          <cell r="F80">
            <v>300</v>
          </cell>
          <cell r="G80">
            <v>0</v>
          </cell>
          <cell r="J80">
            <v>300</v>
          </cell>
          <cell r="K80">
            <v>561600</v>
          </cell>
          <cell r="L80">
            <v>300</v>
          </cell>
          <cell r="M80">
            <v>561600</v>
          </cell>
          <cell r="O80">
            <v>0</v>
          </cell>
          <cell r="P80">
            <v>0</v>
          </cell>
        </row>
        <row r="81">
          <cell r="A81" t="str">
            <v>AA59-10116A</v>
          </cell>
          <cell r="B81">
            <v>0</v>
          </cell>
          <cell r="C81">
            <v>0</v>
          </cell>
          <cell r="D81">
            <v>0</v>
          </cell>
          <cell r="E81">
            <v>5563</v>
          </cell>
          <cell r="F81">
            <v>5563</v>
          </cell>
          <cell r="G81">
            <v>0</v>
          </cell>
          <cell r="H81">
            <v>833</v>
          </cell>
          <cell r="I81">
            <v>1746801</v>
          </cell>
          <cell r="J81">
            <v>4730</v>
          </cell>
          <cell r="K81">
            <v>8839598</v>
          </cell>
          <cell r="L81">
            <v>5563</v>
          </cell>
          <cell r="M81">
            <v>10586399</v>
          </cell>
          <cell r="O81">
            <v>0</v>
          </cell>
          <cell r="P81">
            <v>0</v>
          </cell>
        </row>
        <row r="82">
          <cell r="A82" t="str">
            <v>AA59-10116B</v>
          </cell>
          <cell r="B82">
            <v>0</v>
          </cell>
          <cell r="C82">
            <v>0</v>
          </cell>
          <cell r="D82">
            <v>0</v>
          </cell>
          <cell r="E82">
            <v>6915</v>
          </cell>
          <cell r="F82">
            <v>6847</v>
          </cell>
          <cell r="G82">
            <v>68</v>
          </cell>
          <cell r="H82">
            <v>2070</v>
          </cell>
          <cell r="I82">
            <v>4295250</v>
          </cell>
          <cell r="J82">
            <v>4777</v>
          </cell>
          <cell r="K82">
            <v>9027736</v>
          </cell>
          <cell r="L82">
            <v>6847</v>
          </cell>
          <cell r="M82">
            <v>13322986</v>
          </cell>
          <cell r="O82">
            <v>0</v>
          </cell>
          <cell r="P82">
            <v>68</v>
          </cell>
        </row>
        <row r="83">
          <cell r="A83" t="str">
            <v>AA59-10116C</v>
          </cell>
          <cell r="B83">
            <v>0</v>
          </cell>
          <cell r="C83">
            <v>0</v>
          </cell>
          <cell r="D83">
            <v>0</v>
          </cell>
          <cell r="E83">
            <v>2292</v>
          </cell>
          <cell r="F83">
            <v>1360</v>
          </cell>
          <cell r="G83">
            <v>932</v>
          </cell>
          <cell r="J83">
            <v>1390</v>
          </cell>
          <cell r="K83">
            <v>2552040</v>
          </cell>
          <cell r="L83">
            <v>1390</v>
          </cell>
          <cell r="M83">
            <v>2552040</v>
          </cell>
          <cell r="O83">
            <v>-30</v>
          </cell>
          <cell r="P83">
            <v>902</v>
          </cell>
        </row>
        <row r="84">
          <cell r="A84" t="str">
            <v>AA59-10117A</v>
          </cell>
          <cell r="B84">
            <v>0</v>
          </cell>
          <cell r="C84">
            <v>0</v>
          </cell>
          <cell r="D84">
            <v>0</v>
          </cell>
          <cell r="E84">
            <v>4056</v>
          </cell>
          <cell r="F84">
            <v>4056</v>
          </cell>
          <cell r="G84">
            <v>0</v>
          </cell>
          <cell r="H84">
            <v>4000</v>
          </cell>
          <cell r="I84">
            <v>8480000</v>
          </cell>
          <cell r="J84">
            <v>56</v>
          </cell>
          <cell r="K84">
            <v>104048</v>
          </cell>
          <cell r="L84">
            <v>4056</v>
          </cell>
          <cell r="M84">
            <v>8584048</v>
          </cell>
          <cell r="O84">
            <v>0</v>
          </cell>
          <cell r="P84">
            <v>0</v>
          </cell>
        </row>
        <row r="85">
          <cell r="A85" t="str">
            <v>AA59-10117B</v>
          </cell>
          <cell r="B85">
            <v>0</v>
          </cell>
          <cell r="C85">
            <v>500</v>
          </cell>
          <cell r="D85">
            <v>500</v>
          </cell>
          <cell r="E85">
            <v>9244</v>
          </cell>
          <cell r="F85">
            <v>8500</v>
          </cell>
          <cell r="G85">
            <v>744</v>
          </cell>
          <cell r="H85">
            <v>1500</v>
          </cell>
          <cell r="I85">
            <v>2904000</v>
          </cell>
          <cell r="J85">
            <v>7000</v>
          </cell>
          <cell r="K85">
            <v>12985000</v>
          </cell>
          <cell r="L85">
            <v>8500</v>
          </cell>
          <cell r="M85">
            <v>15889000</v>
          </cell>
          <cell r="O85">
            <v>500</v>
          </cell>
          <cell r="P85">
            <v>1244</v>
          </cell>
        </row>
        <row r="86">
          <cell r="A86" t="str">
            <v>AA59-10118A</v>
          </cell>
          <cell r="B86">
            <v>11</v>
          </cell>
          <cell r="C86">
            <v>0</v>
          </cell>
          <cell r="D86">
            <v>11</v>
          </cell>
          <cell r="E86">
            <v>1001</v>
          </cell>
          <cell r="F86">
            <v>872</v>
          </cell>
          <cell r="G86">
            <v>140</v>
          </cell>
          <cell r="H86">
            <v>552</v>
          </cell>
          <cell r="I86">
            <v>1145400</v>
          </cell>
          <cell r="J86">
            <v>320</v>
          </cell>
          <cell r="K86">
            <v>653484</v>
          </cell>
          <cell r="L86">
            <v>872</v>
          </cell>
          <cell r="M86">
            <v>1798884</v>
          </cell>
          <cell r="O86">
            <v>0</v>
          </cell>
          <cell r="P86">
            <v>140</v>
          </cell>
        </row>
        <row r="87">
          <cell r="A87" t="str">
            <v>AA59-10119A</v>
          </cell>
          <cell r="B87">
            <v>0</v>
          </cell>
          <cell r="C87">
            <v>0</v>
          </cell>
          <cell r="D87">
            <v>0</v>
          </cell>
          <cell r="G87">
            <v>0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</row>
        <row r="88">
          <cell r="A88" t="str">
            <v>AA59-00002A</v>
          </cell>
          <cell r="B88">
            <v>1000</v>
          </cell>
          <cell r="C88">
            <v>0</v>
          </cell>
          <cell r="D88">
            <v>1000</v>
          </cell>
          <cell r="E88">
            <v>5493</v>
          </cell>
          <cell r="F88">
            <v>6493</v>
          </cell>
          <cell r="G88">
            <v>0</v>
          </cell>
          <cell r="H88">
            <v>5400</v>
          </cell>
          <cell r="I88">
            <v>11142000</v>
          </cell>
          <cell r="J88">
            <v>500</v>
          </cell>
          <cell r="K88">
            <v>932500</v>
          </cell>
          <cell r="L88">
            <v>5900</v>
          </cell>
          <cell r="M88">
            <v>12074500</v>
          </cell>
          <cell r="O88">
            <v>593</v>
          </cell>
          <cell r="P88">
            <v>593</v>
          </cell>
        </row>
        <row r="89">
          <cell r="A89" t="str">
            <v>AA59-00002B</v>
          </cell>
          <cell r="B89">
            <v>533</v>
          </cell>
          <cell r="C89">
            <v>90</v>
          </cell>
          <cell r="D89">
            <v>623</v>
          </cell>
          <cell r="E89">
            <v>4778</v>
          </cell>
          <cell r="F89">
            <v>5200</v>
          </cell>
          <cell r="G89">
            <v>111</v>
          </cell>
          <cell r="H89">
            <v>2200</v>
          </cell>
          <cell r="I89">
            <v>4565000</v>
          </cell>
          <cell r="J89">
            <v>2500</v>
          </cell>
          <cell r="K89">
            <v>4681400</v>
          </cell>
          <cell r="L89">
            <v>4700</v>
          </cell>
          <cell r="M89">
            <v>9246400</v>
          </cell>
          <cell r="O89">
            <v>590</v>
          </cell>
          <cell r="P89">
            <v>701</v>
          </cell>
        </row>
        <row r="90">
          <cell r="A90" t="str">
            <v>AA59-00002C</v>
          </cell>
          <cell r="B90">
            <v>600</v>
          </cell>
          <cell r="C90">
            <v>1000</v>
          </cell>
          <cell r="D90">
            <v>1600</v>
          </cell>
          <cell r="E90">
            <v>11355</v>
          </cell>
          <cell r="F90">
            <v>11472</v>
          </cell>
          <cell r="G90">
            <v>483</v>
          </cell>
          <cell r="H90">
            <v>7700</v>
          </cell>
          <cell r="I90">
            <v>15935500</v>
          </cell>
          <cell r="J90">
            <v>4272</v>
          </cell>
          <cell r="K90">
            <v>7967280</v>
          </cell>
          <cell r="L90">
            <v>11972</v>
          </cell>
          <cell r="M90">
            <v>23902780</v>
          </cell>
          <cell r="O90">
            <v>500</v>
          </cell>
          <cell r="P90">
            <v>983</v>
          </cell>
        </row>
        <row r="91">
          <cell r="A91" t="str">
            <v>AA59-10111A</v>
          </cell>
          <cell r="B91">
            <v>0</v>
          </cell>
          <cell r="C91">
            <v>0</v>
          </cell>
          <cell r="G91">
            <v>0</v>
          </cell>
          <cell r="L91">
            <v>0</v>
          </cell>
          <cell r="M91">
            <v>0</v>
          </cell>
          <cell r="O91">
            <v>0</v>
          </cell>
          <cell r="P91">
            <v>0</v>
          </cell>
        </row>
        <row r="92">
          <cell r="A92" t="str">
            <v>AA59-00002D</v>
          </cell>
          <cell r="B92">
            <v>0</v>
          </cell>
          <cell r="C92">
            <v>0</v>
          </cell>
          <cell r="D92">
            <v>0</v>
          </cell>
          <cell r="E92">
            <v>1100</v>
          </cell>
          <cell r="F92">
            <v>1100</v>
          </cell>
          <cell r="G92">
            <v>0</v>
          </cell>
          <cell r="H92">
            <v>600</v>
          </cell>
          <cell r="I92">
            <v>1245000</v>
          </cell>
          <cell r="J92">
            <v>500</v>
          </cell>
          <cell r="K92">
            <v>932500</v>
          </cell>
          <cell r="L92">
            <v>1100</v>
          </cell>
          <cell r="M92">
            <v>2177500</v>
          </cell>
          <cell r="O92">
            <v>0</v>
          </cell>
          <cell r="P92">
            <v>0</v>
          </cell>
        </row>
        <row r="93">
          <cell r="A93" t="str">
            <v>TM-59</v>
          </cell>
          <cell r="B93">
            <v>2267</v>
          </cell>
          <cell r="C93">
            <v>1590</v>
          </cell>
          <cell r="D93">
            <v>20</v>
          </cell>
          <cell r="E93">
            <v>52577</v>
          </cell>
          <cell r="F93">
            <v>52363</v>
          </cell>
          <cell r="G93">
            <v>2481</v>
          </cell>
          <cell r="H93">
            <v>25155</v>
          </cell>
          <cell r="I93">
            <v>52093951</v>
          </cell>
          <cell r="J93">
            <v>26645</v>
          </cell>
          <cell r="K93">
            <v>49834886</v>
          </cell>
          <cell r="L93">
            <v>51800</v>
          </cell>
          <cell r="M93">
            <v>101928837</v>
          </cell>
          <cell r="N93">
            <v>0</v>
          </cell>
          <cell r="O93">
            <v>2153</v>
          </cell>
          <cell r="P93">
            <v>4634</v>
          </cell>
        </row>
        <row r="94">
          <cell r="A94" t="str">
            <v>AA59-10120A</v>
          </cell>
          <cell r="B94">
            <v>26</v>
          </cell>
          <cell r="C94">
            <v>0</v>
          </cell>
          <cell r="D94">
            <v>26</v>
          </cell>
          <cell r="E94">
            <v>177</v>
          </cell>
          <cell r="F94">
            <v>202</v>
          </cell>
          <cell r="G94">
            <v>1</v>
          </cell>
          <cell r="H94">
            <v>102</v>
          </cell>
          <cell r="I94">
            <v>918000</v>
          </cell>
          <cell r="J94">
            <v>100</v>
          </cell>
          <cell r="K94">
            <v>4776912</v>
          </cell>
          <cell r="L94">
            <v>202</v>
          </cell>
          <cell r="M94">
            <v>5694912</v>
          </cell>
          <cell r="O94">
            <v>0</v>
          </cell>
          <cell r="P94">
            <v>1</v>
          </cell>
        </row>
        <row r="95">
          <cell r="A95" t="str">
            <v>TM-61</v>
          </cell>
          <cell r="B95">
            <v>25</v>
          </cell>
          <cell r="C95">
            <v>0</v>
          </cell>
          <cell r="D95">
            <v>26</v>
          </cell>
          <cell r="E95">
            <v>177</v>
          </cell>
          <cell r="F95">
            <v>202</v>
          </cell>
          <cell r="G95">
            <v>1</v>
          </cell>
          <cell r="H95">
            <v>102</v>
          </cell>
          <cell r="I95">
            <v>918000</v>
          </cell>
          <cell r="J95">
            <v>100</v>
          </cell>
          <cell r="K95">
            <v>4776912</v>
          </cell>
          <cell r="L95">
            <v>202</v>
          </cell>
          <cell r="M95">
            <v>5694912</v>
          </cell>
          <cell r="O95">
            <v>0</v>
          </cell>
          <cell r="P95">
            <v>1</v>
          </cell>
        </row>
        <row r="96">
          <cell r="A96" t="str">
            <v>C/TV TOTAL</v>
          </cell>
          <cell r="B96">
            <v>8468</v>
          </cell>
          <cell r="C96">
            <v>2890</v>
          </cell>
          <cell r="D96">
            <v>7452</v>
          </cell>
          <cell r="E96">
            <v>66489</v>
          </cell>
          <cell r="F96">
            <v>67553</v>
          </cell>
          <cell r="G96">
            <v>7335</v>
          </cell>
          <cell r="H96">
            <v>30367</v>
          </cell>
          <cell r="I96">
            <v>72452864</v>
          </cell>
          <cell r="J96">
            <v>37515</v>
          </cell>
          <cell r="K96">
            <v>89940088</v>
          </cell>
          <cell r="L96">
            <v>67882</v>
          </cell>
          <cell r="M96">
            <v>162392952</v>
          </cell>
          <cell r="N96">
            <v>0</v>
          </cell>
          <cell r="O96">
            <v>2561</v>
          </cell>
          <cell r="P96">
            <v>9946</v>
          </cell>
        </row>
        <row r="97">
          <cell r="A97" t="str">
            <v>AC90-10014T</v>
          </cell>
          <cell r="B97">
            <v>0</v>
          </cell>
          <cell r="C97">
            <v>0</v>
          </cell>
          <cell r="D97">
            <v>0</v>
          </cell>
          <cell r="E97">
            <v>500</v>
          </cell>
          <cell r="F97">
            <v>500</v>
          </cell>
          <cell r="G97">
            <v>0</v>
          </cell>
          <cell r="J97">
            <v>500</v>
          </cell>
          <cell r="K97">
            <v>1354750</v>
          </cell>
          <cell r="L97">
            <v>500</v>
          </cell>
          <cell r="M97">
            <v>1354750</v>
          </cell>
          <cell r="O97">
            <v>0</v>
          </cell>
          <cell r="P97">
            <v>0</v>
          </cell>
        </row>
        <row r="98">
          <cell r="A98" t="str">
            <v>NR2559</v>
          </cell>
          <cell r="B98">
            <v>0</v>
          </cell>
          <cell r="C98">
            <v>0</v>
          </cell>
          <cell r="D98">
            <v>0</v>
          </cell>
          <cell r="E98">
            <v>500</v>
          </cell>
          <cell r="F98">
            <v>500</v>
          </cell>
          <cell r="G98">
            <v>0</v>
          </cell>
          <cell r="H98">
            <v>0</v>
          </cell>
          <cell r="I98">
            <v>0</v>
          </cell>
          <cell r="J98">
            <v>500</v>
          </cell>
          <cell r="K98">
            <v>1354750</v>
          </cell>
          <cell r="L98">
            <v>500</v>
          </cell>
          <cell r="M98">
            <v>1355250</v>
          </cell>
          <cell r="O98">
            <v>0</v>
          </cell>
          <cell r="P98">
            <v>0</v>
          </cell>
        </row>
        <row r="99">
          <cell r="A99" t="str">
            <v>AC93-10037N</v>
          </cell>
          <cell r="B99">
            <v>0</v>
          </cell>
          <cell r="C99">
            <v>0</v>
          </cell>
          <cell r="D99">
            <v>0</v>
          </cell>
          <cell r="E99">
            <v>500</v>
          </cell>
          <cell r="F99">
            <v>500</v>
          </cell>
          <cell r="G99">
            <v>0</v>
          </cell>
          <cell r="L99">
            <v>0</v>
          </cell>
          <cell r="M99">
            <v>0</v>
          </cell>
          <cell r="O99">
            <v>500</v>
          </cell>
          <cell r="P99">
            <v>500</v>
          </cell>
        </row>
        <row r="100">
          <cell r="A100" t="str">
            <v>NR3156</v>
          </cell>
          <cell r="B100">
            <v>0</v>
          </cell>
          <cell r="C100">
            <v>0</v>
          </cell>
          <cell r="D100">
            <v>0</v>
          </cell>
          <cell r="E100">
            <v>500</v>
          </cell>
          <cell r="F100">
            <v>500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500</v>
          </cell>
          <cell r="P100">
            <v>500</v>
          </cell>
        </row>
        <row r="101">
          <cell r="A101" t="str">
            <v>AC59-10329B</v>
          </cell>
          <cell r="B101">
            <v>0</v>
          </cell>
          <cell r="C101">
            <v>0</v>
          </cell>
          <cell r="D101">
            <v>0</v>
          </cell>
          <cell r="E101">
            <v>1000</v>
          </cell>
          <cell r="F101">
            <v>1000</v>
          </cell>
          <cell r="G101">
            <v>0</v>
          </cell>
          <cell r="H101">
            <v>1000</v>
          </cell>
          <cell r="I101">
            <v>2529920</v>
          </cell>
          <cell r="L101">
            <v>1000</v>
          </cell>
          <cell r="M101">
            <v>2529920</v>
          </cell>
          <cell r="O101">
            <v>0</v>
          </cell>
          <cell r="P101">
            <v>0</v>
          </cell>
        </row>
        <row r="102">
          <cell r="A102" t="str">
            <v>AC59-00006A</v>
          </cell>
          <cell r="B102">
            <v>0</v>
          </cell>
          <cell r="C102">
            <v>5400</v>
          </cell>
          <cell r="D102">
            <v>5400</v>
          </cell>
          <cell r="E102">
            <v>4000</v>
          </cell>
          <cell r="F102">
            <v>4000</v>
          </cell>
          <cell r="G102">
            <v>0</v>
          </cell>
          <cell r="J102">
            <v>5400</v>
          </cell>
          <cell r="K102">
            <v>15055200</v>
          </cell>
          <cell r="L102">
            <v>5400</v>
          </cell>
          <cell r="M102">
            <v>15055200</v>
          </cell>
          <cell r="O102">
            <v>4000</v>
          </cell>
          <cell r="P102">
            <v>4000</v>
          </cell>
        </row>
        <row r="103">
          <cell r="A103" t="str">
            <v>AC59-10329G</v>
          </cell>
          <cell r="B103">
            <v>0</v>
          </cell>
          <cell r="C103">
            <v>0</v>
          </cell>
          <cell r="D103">
            <v>0</v>
          </cell>
          <cell r="G103">
            <v>0</v>
          </cell>
          <cell r="L103">
            <v>0</v>
          </cell>
          <cell r="M103">
            <v>0</v>
          </cell>
          <cell r="O103">
            <v>0</v>
          </cell>
          <cell r="P103">
            <v>0</v>
          </cell>
        </row>
        <row r="104">
          <cell r="A104" t="str">
            <v>AC59-10343E</v>
          </cell>
          <cell r="B104">
            <v>0</v>
          </cell>
          <cell r="C104">
            <v>0</v>
          </cell>
          <cell r="D104">
            <v>0</v>
          </cell>
          <cell r="G104">
            <v>0</v>
          </cell>
          <cell r="L104">
            <v>0</v>
          </cell>
          <cell r="M104">
            <v>0</v>
          </cell>
          <cell r="O104">
            <v>0</v>
          </cell>
          <cell r="P104">
            <v>0</v>
          </cell>
        </row>
        <row r="105">
          <cell r="A105" t="str">
            <v>AC59-10329M</v>
          </cell>
          <cell r="B105">
            <v>0</v>
          </cell>
          <cell r="C105">
            <v>990</v>
          </cell>
          <cell r="D105">
            <v>990</v>
          </cell>
          <cell r="G105">
            <v>0</v>
          </cell>
          <cell r="H105">
            <v>990</v>
          </cell>
          <cell r="I105">
            <v>2660130</v>
          </cell>
          <cell r="L105">
            <v>990</v>
          </cell>
          <cell r="M105">
            <v>2660130</v>
          </cell>
          <cell r="O105">
            <v>0</v>
          </cell>
          <cell r="P105">
            <v>0</v>
          </cell>
        </row>
        <row r="106">
          <cell r="A106" t="str">
            <v>AC59-10329N</v>
          </cell>
          <cell r="B106">
            <v>0</v>
          </cell>
          <cell r="C106">
            <v>1920</v>
          </cell>
          <cell r="D106">
            <v>1920</v>
          </cell>
          <cell r="G106">
            <v>0</v>
          </cell>
          <cell r="H106">
            <v>620</v>
          </cell>
          <cell r="I106">
            <v>1663460</v>
          </cell>
          <cell r="L106">
            <v>620</v>
          </cell>
          <cell r="M106">
            <v>1663460</v>
          </cell>
          <cell r="O106">
            <v>1300</v>
          </cell>
          <cell r="P106">
            <v>1300</v>
          </cell>
        </row>
        <row r="107">
          <cell r="A107" t="str">
            <v>AC59-10329Y</v>
          </cell>
          <cell r="B107">
            <v>0</v>
          </cell>
          <cell r="C107">
            <v>50</v>
          </cell>
          <cell r="D107">
            <v>50</v>
          </cell>
          <cell r="E107">
            <v>850</v>
          </cell>
          <cell r="F107">
            <v>850</v>
          </cell>
          <cell r="G107">
            <v>0</v>
          </cell>
          <cell r="H107">
            <v>950</v>
          </cell>
          <cell r="I107">
            <v>2527950</v>
          </cell>
          <cell r="L107">
            <v>950</v>
          </cell>
          <cell r="M107">
            <v>2527950</v>
          </cell>
          <cell r="O107">
            <v>-50</v>
          </cell>
          <cell r="P107">
            <v>-50</v>
          </cell>
        </row>
        <row r="108">
          <cell r="A108" t="str">
            <v>AC59-10329P</v>
          </cell>
          <cell r="B108">
            <v>0</v>
          </cell>
          <cell r="C108">
            <v>0</v>
          </cell>
          <cell r="D108">
            <v>0</v>
          </cell>
          <cell r="G108">
            <v>0</v>
          </cell>
          <cell r="L108">
            <v>0</v>
          </cell>
          <cell r="M108">
            <v>0</v>
          </cell>
          <cell r="O108">
            <v>0</v>
          </cell>
          <cell r="P108">
            <v>0</v>
          </cell>
        </row>
        <row r="109">
          <cell r="A109" t="str">
            <v>AC59-10332B</v>
          </cell>
          <cell r="B109">
            <v>0</v>
          </cell>
          <cell r="C109">
            <v>0</v>
          </cell>
          <cell r="D109">
            <v>0</v>
          </cell>
          <cell r="E109">
            <v>2285</v>
          </cell>
          <cell r="G109">
            <v>2285</v>
          </cell>
          <cell r="L109">
            <v>0</v>
          </cell>
          <cell r="M109">
            <v>0</v>
          </cell>
          <cell r="O109">
            <v>0</v>
          </cell>
          <cell r="P109">
            <v>2285</v>
          </cell>
        </row>
        <row r="110">
          <cell r="A110" t="str">
            <v>AC59-10343F</v>
          </cell>
          <cell r="B110">
            <v>200</v>
          </cell>
          <cell r="C110">
            <v>0</v>
          </cell>
          <cell r="D110">
            <v>200</v>
          </cell>
          <cell r="E110">
            <v>1800</v>
          </cell>
          <cell r="F110">
            <v>2000</v>
          </cell>
          <cell r="G110">
            <v>0</v>
          </cell>
          <cell r="H110">
            <v>1524</v>
          </cell>
          <cell r="I110">
            <v>3787140</v>
          </cell>
          <cell r="J110">
            <v>400</v>
          </cell>
          <cell r="K110">
            <v>994000</v>
          </cell>
          <cell r="L110">
            <v>1924</v>
          </cell>
          <cell r="M110">
            <v>4781140</v>
          </cell>
          <cell r="O110">
            <v>76</v>
          </cell>
          <cell r="P110">
            <v>76</v>
          </cell>
        </row>
        <row r="111">
          <cell r="A111" t="str">
            <v>AC59-10343G</v>
          </cell>
          <cell r="B111">
            <v>0</v>
          </cell>
          <cell r="C111">
            <v>5</v>
          </cell>
          <cell r="D111">
            <v>5</v>
          </cell>
          <cell r="G111">
            <v>0</v>
          </cell>
          <cell r="L111">
            <v>0</v>
          </cell>
          <cell r="M111">
            <v>0</v>
          </cell>
          <cell r="O111">
            <v>5</v>
          </cell>
          <cell r="P111">
            <v>5</v>
          </cell>
        </row>
        <row r="112">
          <cell r="A112" t="str">
            <v>AC59-10343B</v>
          </cell>
          <cell r="B112">
            <v>0</v>
          </cell>
          <cell r="C112">
            <v>0</v>
          </cell>
          <cell r="D112">
            <v>0</v>
          </cell>
          <cell r="G112">
            <v>0</v>
          </cell>
          <cell r="L112">
            <v>0</v>
          </cell>
          <cell r="M112">
            <v>0</v>
          </cell>
          <cell r="O112">
            <v>0</v>
          </cell>
          <cell r="P112">
            <v>0</v>
          </cell>
        </row>
        <row r="113">
          <cell r="A113" t="str">
            <v>AC59-10343U</v>
          </cell>
          <cell r="B113">
            <v>0</v>
          </cell>
          <cell r="C113">
            <v>0</v>
          </cell>
          <cell r="D113">
            <v>0</v>
          </cell>
          <cell r="E113">
            <v>200</v>
          </cell>
          <cell r="G113">
            <v>200</v>
          </cell>
          <cell r="L113">
            <v>0</v>
          </cell>
          <cell r="M113">
            <v>0</v>
          </cell>
          <cell r="O113">
            <v>0</v>
          </cell>
          <cell r="P113">
            <v>200</v>
          </cell>
        </row>
        <row r="114">
          <cell r="A114" t="str">
            <v>AC59-10343W</v>
          </cell>
          <cell r="B114">
            <v>419</v>
          </cell>
          <cell r="C114">
            <v>0</v>
          </cell>
          <cell r="D114">
            <v>419</v>
          </cell>
          <cell r="G114">
            <v>419</v>
          </cell>
          <cell r="L114">
            <v>0</v>
          </cell>
          <cell r="M114">
            <v>0</v>
          </cell>
          <cell r="O114">
            <v>0</v>
          </cell>
          <cell r="P114">
            <v>419</v>
          </cell>
        </row>
        <row r="115">
          <cell r="A115" t="str">
            <v>AC59-10343P</v>
          </cell>
          <cell r="B115">
            <v>0</v>
          </cell>
          <cell r="C115">
            <v>0</v>
          </cell>
          <cell r="D115">
            <v>0</v>
          </cell>
          <cell r="G115">
            <v>0</v>
          </cell>
          <cell r="L115">
            <v>0</v>
          </cell>
          <cell r="M115">
            <v>0</v>
          </cell>
          <cell r="O115">
            <v>0</v>
          </cell>
          <cell r="P115">
            <v>0</v>
          </cell>
        </row>
        <row r="116">
          <cell r="A116" t="str">
            <v>AC59-10343T</v>
          </cell>
          <cell r="B116">
            <v>0</v>
          </cell>
          <cell r="C116">
            <v>440</v>
          </cell>
          <cell r="D116">
            <v>440</v>
          </cell>
          <cell r="G116">
            <v>0</v>
          </cell>
          <cell r="H116">
            <v>440</v>
          </cell>
          <cell r="I116">
            <v>1105280</v>
          </cell>
          <cell r="L116">
            <v>440</v>
          </cell>
          <cell r="M116">
            <v>1105280</v>
          </cell>
          <cell r="O116">
            <v>0</v>
          </cell>
          <cell r="P116">
            <v>0</v>
          </cell>
        </row>
        <row r="117">
          <cell r="A117" t="str">
            <v>AC59-10352A</v>
          </cell>
          <cell r="B117">
            <v>1683</v>
          </cell>
          <cell r="C117">
            <v>1520</v>
          </cell>
          <cell r="D117">
            <v>3203</v>
          </cell>
          <cell r="E117">
            <v>7730</v>
          </cell>
          <cell r="F117">
            <v>9120</v>
          </cell>
          <cell r="G117">
            <v>293</v>
          </cell>
          <cell r="H117">
            <v>7600</v>
          </cell>
          <cell r="I117">
            <v>21690400</v>
          </cell>
          <cell r="J117">
            <v>2280</v>
          </cell>
          <cell r="K117">
            <v>6507120</v>
          </cell>
          <cell r="L117">
            <v>9880</v>
          </cell>
          <cell r="M117">
            <v>28197520</v>
          </cell>
          <cell r="O117">
            <v>760</v>
          </cell>
          <cell r="P117">
            <v>1053</v>
          </cell>
        </row>
        <row r="118">
          <cell r="A118" t="str">
            <v>AC59-10421A</v>
          </cell>
          <cell r="B118">
            <v>0</v>
          </cell>
          <cell r="C118">
            <v>643</v>
          </cell>
          <cell r="D118">
            <v>643</v>
          </cell>
          <cell r="G118">
            <v>0</v>
          </cell>
          <cell r="H118">
            <v>2993</v>
          </cell>
          <cell r="I118">
            <v>8449239</v>
          </cell>
          <cell r="L118">
            <v>2993</v>
          </cell>
          <cell r="M118">
            <v>8449239</v>
          </cell>
          <cell r="O118">
            <v>-2350</v>
          </cell>
          <cell r="P118">
            <v>-2350</v>
          </cell>
        </row>
        <row r="119">
          <cell r="A119" t="str">
            <v>AC59-10421B</v>
          </cell>
          <cell r="B119">
            <v>0</v>
          </cell>
          <cell r="C119">
            <v>9750</v>
          </cell>
          <cell r="D119">
            <v>9750</v>
          </cell>
          <cell r="G119">
            <v>0</v>
          </cell>
          <cell r="L119">
            <v>0</v>
          </cell>
          <cell r="M119">
            <v>0</v>
          </cell>
          <cell r="O119">
            <v>9750</v>
          </cell>
          <cell r="P119">
            <v>9750</v>
          </cell>
        </row>
        <row r="120">
          <cell r="A120" t="str">
            <v>AC93-10040L</v>
          </cell>
          <cell r="B120">
            <v>0</v>
          </cell>
          <cell r="C120">
            <v>0</v>
          </cell>
          <cell r="D120">
            <v>0</v>
          </cell>
          <cell r="G120">
            <v>0</v>
          </cell>
          <cell r="L120">
            <v>0</v>
          </cell>
          <cell r="M120">
            <v>0</v>
          </cell>
          <cell r="O120">
            <v>0</v>
          </cell>
          <cell r="P120">
            <v>0</v>
          </cell>
        </row>
        <row r="121">
          <cell r="A121" t="str">
            <v>AC93-10044M</v>
          </cell>
          <cell r="B121">
            <v>0</v>
          </cell>
          <cell r="C121">
            <v>0</v>
          </cell>
          <cell r="D121">
            <v>0</v>
          </cell>
          <cell r="G121">
            <v>0</v>
          </cell>
          <cell r="L121">
            <v>0</v>
          </cell>
          <cell r="M121">
            <v>0</v>
          </cell>
          <cell r="O121">
            <v>0</v>
          </cell>
          <cell r="P121">
            <v>0</v>
          </cell>
        </row>
        <row r="122">
          <cell r="A122" t="str">
            <v>NR-3346</v>
          </cell>
          <cell r="B122">
            <v>2302</v>
          </cell>
          <cell r="C122">
            <v>20718</v>
          </cell>
          <cell r="D122">
            <v>23020</v>
          </cell>
          <cell r="E122">
            <v>17865</v>
          </cell>
          <cell r="F122">
            <v>16970</v>
          </cell>
          <cell r="G122">
            <v>3197</v>
          </cell>
          <cell r="H122">
            <v>16117</v>
          </cell>
          <cell r="I122">
            <v>44413519</v>
          </cell>
          <cell r="J122">
            <v>8080</v>
          </cell>
          <cell r="K122">
            <v>22556320</v>
          </cell>
          <cell r="L122">
            <v>24197</v>
          </cell>
          <cell r="M122">
            <v>66969839</v>
          </cell>
          <cell r="N122">
            <v>0</v>
          </cell>
          <cell r="O122">
            <v>13491</v>
          </cell>
          <cell r="P122">
            <v>16688</v>
          </cell>
        </row>
        <row r="123">
          <cell r="A123" t="str">
            <v>AC93-10040P</v>
          </cell>
          <cell r="B123">
            <v>0</v>
          </cell>
          <cell r="C123">
            <v>0</v>
          </cell>
          <cell r="D123">
            <v>0</v>
          </cell>
          <cell r="E123">
            <v>200</v>
          </cell>
          <cell r="F123">
            <v>200</v>
          </cell>
          <cell r="G123">
            <v>0</v>
          </cell>
          <cell r="L123">
            <v>0</v>
          </cell>
          <cell r="M123">
            <v>0</v>
          </cell>
          <cell r="O123">
            <v>200</v>
          </cell>
          <cell r="P123">
            <v>200</v>
          </cell>
        </row>
        <row r="124">
          <cell r="A124" t="str">
            <v>AC93-10040Y</v>
          </cell>
          <cell r="B124">
            <v>0</v>
          </cell>
          <cell r="C124">
            <v>0</v>
          </cell>
          <cell r="D124">
            <v>0</v>
          </cell>
          <cell r="G124">
            <v>0</v>
          </cell>
          <cell r="L124">
            <v>0</v>
          </cell>
          <cell r="M124">
            <v>0</v>
          </cell>
          <cell r="O124">
            <v>0</v>
          </cell>
          <cell r="P124">
            <v>0</v>
          </cell>
        </row>
        <row r="125">
          <cell r="A125" t="str">
            <v>NR-3448</v>
          </cell>
          <cell r="B125">
            <v>0</v>
          </cell>
          <cell r="C125">
            <v>0</v>
          </cell>
          <cell r="D125">
            <v>0</v>
          </cell>
          <cell r="E125">
            <v>200</v>
          </cell>
          <cell r="F125">
            <v>200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200</v>
          </cell>
          <cell r="P125">
            <v>200</v>
          </cell>
        </row>
        <row r="126">
          <cell r="A126" t="str">
            <v>AC93-10041N</v>
          </cell>
          <cell r="B126">
            <v>0</v>
          </cell>
          <cell r="C126">
            <v>0</v>
          </cell>
          <cell r="D126">
            <v>0</v>
          </cell>
          <cell r="G126">
            <v>0</v>
          </cell>
          <cell r="L126">
            <v>0</v>
          </cell>
          <cell r="M126">
            <v>0</v>
          </cell>
          <cell r="O126">
            <v>0</v>
          </cell>
          <cell r="P126">
            <v>0</v>
          </cell>
        </row>
        <row r="127">
          <cell r="A127" t="str">
            <v>AC93-10041R</v>
          </cell>
          <cell r="B127">
            <v>0</v>
          </cell>
          <cell r="C127">
            <v>0</v>
          </cell>
          <cell r="D127">
            <v>0</v>
          </cell>
          <cell r="G127">
            <v>0</v>
          </cell>
          <cell r="L127">
            <v>0</v>
          </cell>
          <cell r="M127">
            <v>0</v>
          </cell>
          <cell r="O127">
            <v>0</v>
          </cell>
          <cell r="P127">
            <v>0</v>
          </cell>
        </row>
        <row r="128">
          <cell r="A128" t="str">
            <v>PR-3641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J128">
            <v>0</v>
          </cell>
          <cell r="L128">
            <v>0</v>
          </cell>
          <cell r="M128">
            <v>0</v>
          </cell>
          <cell r="O128">
            <v>0</v>
          </cell>
          <cell r="P128">
            <v>0</v>
          </cell>
        </row>
        <row r="129">
          <cell r="A129" t="str">
            <v>AC59-10356C</v>
          </cell>
          <cell r="B129">
            <v>0</v>
          </cell>
          <cell r="C129">
            <v>0</v>
          </cell>
          <cell r="D129">
            <v>0</v>
          </cell>
          <cell r="G129">
            <v>0</v>
          </cell>
          <cell r="L129">
            <v>0</v>
          </cell>
          <cell r="M129">
            <v>0</v>
          </cell>
          <cell r="O129">
            <v>0</v>
          </cell>
          <cell r="P129">
            <v>0</v>
          </cell>
        </row>
        <row r="130">
          <cell r="A130" t="str">
            <v>AC93-10042K</v>
          </cell>
          <cell r="B130">
            <v>0</v>
          </cell>
          <cell r="C130">
            <v>0</v>
          </cell>
          <cell r="D130">
            <v>0</v>
          </cell>
          <cell r="G130">
            <v>0</v>
          </cell>
          <cell r="L130">
            <v>0</v>
          </cell>
          <cell r="M130">
            <v>0</v>
          </cell>
          <cell r="O130">
            <v>0</v>
          </cell>
          <cell r="P130">
            <v>0</v>
          </cell>
        </row>
        <row r="131">
          <cell r="A131" t="str">
            <v>AC59-10331B</v>
          </cell>
          <cell r="B131">
            <v>0</v>
          </cell>
          <cell r="C131">
            <v>0</v>
          </cell>
          <cell r="D131">
            <v>0</v>
          </cell>
          <cell r="G131">
            <v>0</v>
          </cell>
          <cell r="L131">
            <v>0</v>
          </cell>
          <cell r="M131">
            <v>0</v>
          </cell>
          <cell r="O131">
            <v>0</v>
          </cell>
          <cell r="P131">
            <v>0</v>
          </cell>
        </row>
        <row r="132">
          <cell r="A132" t="str">
            <v>AC59-10044F</v>
          </cell>
          <cell r="B132">
            <v>0</v>
          </cell>
          <cell r="C132">
            <v>0</v>
          </cell>
          <cell r="D132">
            <v>0</v>
          </cell>
          <cell r="G132">
            <v>0</v>
          </cell>
          <cell r="L132">
            <v>0</v>
          </cell>
          <cell r="M132">
            <v>0</v>
          </cell>
          <cell r="O132">
            <v>0</v>
          </cell>
          <cell r="P132">
            <v>0</v>
          </cell>
        </row>
        <row r="133">
          <cell r="A133" t="str">
            <v>PR-3914</v>
          </cell>
          <cell r="B133">
            <v>608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AC59-10331D</v>
          </cell>
          <cell r="B134">
            <v>0</v>
          </cell>
          <cell r="C134">
            <v>2300</v>
          </cell>
          <cell r="D134">
            <v>2300</v>
          </cell>
          <cell r="G134">
            <v>0</v>
          </cell>
          <cell r="H134">
            <v>1050</v>
          </cell>
          <cell r="I134">
            <v>2080417</v>
          </cell>
          <cell r="L134">
            <v>1050</v>
          </cell>
          <cell r="M134">
            <v>2080417</v>
          </cell>
          <cell r="O134">
            <v>1250</v>
          </cell>
          <cell r="P134">
            <v>1250</v>
          </cell>
        </row>
        <row r="135">
          <cell r="A135" t="str">
            <v>PR-3914</v>
          </cell>
          <cell r="B135">
            <v>0</v>
          </cell>
          <cell r="C135">
            <v>2300</v>
          </cell>
          <cell r="D135">
            <v>2300</v>
          </cell>
          <cell r="E135">
            <v>0</v>
          </cell>
          <cell r="F135">
            <v>0</v>
          </cell>
          <cell r="G135">
            <v>0</v>
          </cell>
          <cell r="H135">
            <v>1050</v>
          </cell>
          <cell r="I135">
            <v>2080417</v>
          </cell>
          <cell r="J135">
            <v>0</v>
          </cell>
          <cell r="K135">
            <v>0</v>
          </cell>
          <cell r="L135">
            <v>1050</v>
          </cell>
          <cell r="M135">
            <v>2080417</v>
          </cell>
          <cell r="N135">
            <v>0</v>
          </cell>
          <cell r="O135">
            <v>1250</v>
          </cell>
          <cell r="P135">
            <v>1250</v>
          </cell>
        </row>
        <row r="136">
          <cell r="A136" t="str">
            <v>AC59-10340R</v>
          </cell>
          <cell r="B136">
            <v>0</v>
          </cell>
          <cell r="C136">
            <v>0</v>
          </cell>
          <cell r="D136">
            <v>0</v>
          </cell>
          <cell r="E136">
            <v>200</v>
          </cell>
          <cell r="F136">
            <v>200</v>
          </cell>
          <cell r="G136">
            <v>0</v>
          </cell>
          <cell r="J136">
            <v>200</v>
          </cell>
          <cell r="K136">
            <v>558400</v>
          </cell>
          <cell r="L136">
            <v>200</v>
          </cell>
          <cell r="M136">
            <v>558400</v>
          </cell>
          <cell r="O136">
            <v>0</v>
          </cell>
          <cell r="P136">
            <v>0</v>
          </cell>
        </row>
        <row r="137">
          <cell r="A137" t="str">
            <v>AC59-10340S</v>
          </cell>
          <cell r="B137">
            <v>0</v>
          </cell>
          <cell r="C137">
            <v>0</v>
          </cell>
          <cell r="D137">
            <v>0</v>
          </cell>
          <cell r="G137">
            <v>0</v>
          </cell>
          <cell r="L137">
            <v>0</v>
          </cell>
          <cell r="M137">
            <v>0</v>
          </cell>
          <cell r="O137">
            <v>0</v>
          </cell>
          <cell r="P137">
            <v>0</v>
          </cell>
        </row>
        <row r="138">
          <cell r="A138" t="str">
            <v>AC59-10340P</v>
          </cell>
          <cell r="B138">
            <v>0</v>
          </cell>
          <cell r="C138">
            <v>0</v>
          </cell>
          <cell r="D138">
            <v>0</v>
          </cell>
          <cell r="G138">
            <v>0</v>
          </cell>
          <cell r="L138">
            <v>0</v>
          </cell>
          <cell r="M138">
            <v>0</v>
          </cell>
          <cell r="O138">
            <v>0</v>
          </cell>
          <cell r="P138">
            <v>0</v>
          </cell>
        </row>
        <row r="139">
          <cell r="A139" t="str">
            <v>AC59-10340M</v>
          </cell>
          <cell r="B139">
            <v>0</v>
          </cell>
          <cell r="C139">
            <v>0</v>
          </cell>
          <cell r="D139">
            <v>0</v>
          </cell>
          <cell r="E139">
            <v>150</v>
          </cell>
          <cell r="F139">
            <v>100</v>
          </cell>
          <cell r="G139">
            <v>50</v>
          </cell>
          <cell r="H139">
            <v>50</v>
          </cell>
          <cell r="I139">
            <v>172900</v>
          </cell>
          <cell r="J139">
            <v>50</v>
          </cell>
          <cell r="K139">
            <v>172900</v>
          </cell>
          <cell r="L139">
            <v>100</v>
          </cell>
          <cell r="M139">
            <v>345800</v>
          </cell>
          <cell r="O139">
            <v>0</v>
          </cell>
          <cell r="P139">
            <v>50</v>
          </cell>
        </row>
        <row r="140">
          <cell r="A140" t="str">
            <v>AC59-10340E</v>
          </cell>
          <cell r="B140">
            <v>0</v>
          </cell>
          <cell r="C140">
            <v>0</v>
          </cell>
          <cell r="D140">
            <v>0</v>
          </cell>
          <cell r="G140">
            <v>0</v>
          </cell>
          <cell r="L140">
            <v>0</v>
          </cell>
          <cell r="M140">
            <v>0</v>
          </cell>
          <cell r="O140">
            <v>0</v>
          </cell>
          <cell r="P140">
            <v>0</v>
          </cell>
        </row>
        <row r="141">
          <cell r="A141" t="str">
            <v>AC59-10340H</v>
          </cell>
          <cell r="B141">
            <v>0</v>
          </cell>
          <cell r="C141">
            <v>0</v>
          </cell>
          <cell r="D141">
            <v>0</v>
          </cell>
          <cell r="G141">
            <v>0</v>
          </cell>
          <cell r="L141">
            <v>0</v>
          </cell>
          <cell r="M141">
            <v>0</v>
          </cell>
          <cell r="O141">
            <v>0</v>
          </cell>
          <cell r="P141">
            <v>0</v>
          </cell>
        </row>
        <row r="142">
          <cell r="A142" t="str">
            <v>AC59-10340F</v>
          </cell>
          <cell r="B142">
            <v>50</v>
          </cell>
          <cell r="C142">
            <v>0</v>
          </cell>
          <cell r="D142">
            <v>50</v>
          </cell>
          <cell r="E142">
            <v>65</v>
          </cell>
          <cell r="F142">
            <v>115</v>
          </cell>
          <cell r="G142">
            <v>0</v>
          </cell>
          <cell r="L142">
            <v>0</v>
          </cell>
          <cell r="M142">
            <v>0</v>
          </cell>
          <cell r="O142">
            <v>115</v>
          </cell>
          <cell r="P142">
            <v>115</v>
          </cell>
        </row>
        <row r="143">
          <cell r="A143" t="str">
            <v>AC59-10340G</v>
          </cell>
          <cell r="B143">
            <v>0</v>
          </cell>
          <cell r="C143">
            <v>0</v>
          </cell>
          <cell r="D143">
            <v>0</v>
          </cell>
          <cell r="G143">
            <v>0</v>
          </cell>
          <cell r="L143">
            <v>0</v>
          </cell>
          <cell r="M143">
            <v>0</v>
          </cell>
          <cell r="O143">
            <v>0</v>
          </cell>
          <cell r="P143">
            <v>0</v>
          </cell>
        </row>
        <row r="144">
          <cell r="A144" t="str">
            <v>NR-4250</v>
          </cell>
          <cell r="B144">
            <v>50</v>
          </cell>
          <cell r="C144">
            <v>0</v>
          </cell>
          <cell r="D144">
            <v>50</v>
          </cell>
          <cell r="E144">
            <v>415</v>
          </cell>
          <cell r="F144">
            <v>415</v>
          </cell>
          <cell r="G144">
            <v>50</v>
          </cell>
          <cell r="H144">
            <v>50</v>
          </cell>
          <cell r="I144">
            <v>172900</v>
          </cell>
          <cell r="J144">
            <v>250</v>
          </cell>
          <cell r="K144">
            <v>731300</v>
          </cell>
          <cell r="L144">
            <v>300</v>
          </cell>
          <cell r="M144">
            <v>904200</v>
          </cell>
          <cell r="N144">
            <v>0</v>
          </cell>
          <cell r="O144">
            <v>115</v>
          </cell>
          <cell r="P144">
            <v>165</v>
          </cell>
        </row>
        <row r="145">
          <cell r="A145" t="str">
            <v>AC59-10338A</v>
          </cell>
          <cell r="B145">
            <v>0</v>
          </cell>
          <cell r="C145">
            <v>0</v>
          </cell>
          <cell r="D145">
            <v>0</v>
          </cell>
          <cell r="G145">
            <v>0</v>
          </cell>
          <cell r="L145">
            <v>0</v>
          </cell>
          <cell r="M145">
            <v>0</v>
          </cell>
          <cell r="O145">
            <v>0</v>
          </cell>
          <cell r="P145">
            <v>0</v>
          </cell>
        </row>
        <row r="146">
          <cell r="A146" t="str">
            <v>NR-4534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AC59-10419A</v>
          </cell>
          <cell r="B147">
            <v>100</v>
          </cell>
          <cell r="C147">
            <v>1600</v>
          </cell>
          <cell r="D147">
            <v>1700</v>
          </cell>
          <cell r="E147">
            <v>25459</v>
          </cell>
          <cell r="F147">
            <v>25559</v>
          </cell>
          <cell r="G147">
            <v>0</v>
          </cell>
          <cell r="H147">
            <v>15700</v>
          </cell>
          <cell r="I147">
            <v>29688700</v>
          </cell>
          <cell r="J147">
            <v>11459</v>
          </cell>
          <cell r="K147">
            <v>21668969</v>
          </cell>
          <cell r="L147">
            <v>27159</v>
          </cell>
          <cell r="M147">
            <v>51357669</v>
          </cell>
          <cell r="O147">
            <v>0</v>
          </cell>
          <cell r="P147">
            <v>0</v>
          </cell>
        </row>
        <row r="148">
          <cell r="A148" t="str">
            <v>AC59-10419B</v>
          </cell>
          <cell r="B148">
            <v>246</v>
          </cell>
          <cell r="C148">
            <v>400</v>
          </cell>
          <cell r="D148">
            <v>646</v>
          </cell>
          <cell r="E148">
            <v>2954</v>
          </cell>
          <cell r="F148">
            <v>3200</v>
          </cell>
          <cell r="G148">
            <v>0</v>
          </cell>
          <cell r="H148">
            <v>2000</v>
          </cell>
          <cell r="I148">
            <v>6076000</v>
          </cell>
          <cell r="J148">
            <v>1600</v>
          </cell>
          <cell r="K148">
            <v>4860800</v>
          </cell>
          <cell r="L148">
            <v>3600</v>
          </cell>
          <cell r="M148">
            <v>10936800</v>
          </cell>
          <cell r="O148">
            <v>0</v>
          </cell>
          <cell r="P148">
            <v>0</v>
          </cell>
        </row>
        <row r="149">
          <cell r="A149" t="str">
            <v>AC59-10419C</v>
          </cell>
          <cell r="B149">
            <v>0</v>
          </cell>
          <cell r="C149">
            <v>398</v>
          </cell>
          <cell r="D149">
            <v>398</v>
          </cell>
          <cell r="E149">
            <v>200</v>
          </cell>
          <cell r="F149">
            <v>200</v>
          </cell>
          <cell r="G149">
            <v>0</v>
          </cell>
          <cell r="H149">
            <v>200</v>
          </cell>
          <cell r="I149">
            <v>607600</v>
          </cell>
          <cell r="L149">
            <v>200</v>
          </cell>
          <cell r="M149">
            <v>607600</v>
          </cell>
          <cell r="O149">
            <v>398</v>
          </cell>
          <cell r="P149">
            <v>398</v>
          </cell>
        </row>
        <row r="150">
          <cell r="A150" t="str">
            <v>AC59-10419Q</v>
          </cell>
          <cell r="B150">
            <v>0</v>
          </cell>
          <cell r="C150">
            <v>0</v>
          </cell>
          <cell r="D150">
            <v>0</v>
          </cell>
          <cell r="E150">
            <v>1052</v>
          </cell>
          <cell r="F150">
            <v>1052</v>
          </cell>
          <cell r="G150">
            <v>0</v>
          </cell>
          <cell r="L150">
            <v>0</v>
          </cell>
          <cell r="M150">
            <v>0</v>
          </cell>
          <cell r="O150">
            <v>1052</v>
          </cell>
          <cell r="P150">
            <v>1052</v>
          </cell>
        </row>
        <row r="151">
          <cell r="A151" t="str">
            <v>AC59-10419U</v>
          </cell>
          <cell r="B151">
            <v>0</v>
          </cell>
          <cell r="C151">
            <v>2650</v>
          </cell>
          <cell r="D151">
            <v>2650</v>
          </cell>
          <cell r="E151">
            <v>5200</v>
          </cell>
          <cell r="F151">
            <v>5200</v>
          </cell>
          <cell r="G151">
            <v>0</v>
          </cell>
          <cell r="J151">
            <v>7850</v>
          </cell>
          <cell r="K151">
            <v>22074200</v>
          </cell>
          <cell r="L151">
            <v>7850</v>
          </cell>
          <cell r="M151">
            <v>22074200</v>
          </cell>
          <cell r="O151">
            <v>0</v>
          </cell>
          <cell r="P151">
            <v>0</v>
          </cell>
        </row>
        <row r="152">
          <cell r="A152" t="str">
            <v>AC59-10419W</v>
          </cell>
          <cell r="B152">
            <v>0</v>
          </cell>
          <cell r="C152">
            <v>0</v>
          </cell>
          <cell r="D152">
            <v>0</v>
          </cell>
          <cell r="E152">
            <v>2929</v>
          </cell>
          <cell r="F152">
            <v>2929</v>
          </cell>
          <cell r="G152">
            <v>0</v>
          </cell>
          <cell r="J152">
            <v>2929</v>
          </cell>
          <cell r="K152">
            <v>8236348</v>
          </cell>
          <cell r="L152">
            <v>2929</v>
          </cell>
          <cell r="M152">
            <v>8236348</v>
          </cell>
          <cell r="O152">
            <v>0</v>
          </cell>
          <cell r="P152">
            <v>0</v>
          </cell>
        </row>
        <row r="153">
          <cell r="A153" t="str">
            <v>AC59-10419V</v>
          </cell>
          <cell r="B153">
            <v>0</v>
          </cell>
          <cell r="C153">
            <v>60</v>
          </cell>
          <cell r="D153">
            <v>60</v>
          </cell>
          <cell r="G153">
            <v>0</v>
          </cell>
          <cell r="J153">
            <v>60</v>
          </cell>
          <cell r="K153">
            <v>168720</v>
          </cell>
          <cell r="L153">
            <v>60</v>
          </cell>
          <cell r="M153">
            <v>168720</v>
          </cell>
          <cell r="O153">
            <v>0</v>
          </cell>
          <cell r="P153">
            <v>0</v>
          </cell>
        </row>
        <row r="154">
          <cell r="A154" t="str">
            <v>AC59-10419Y</v>
          </cell>
          <cell r="B154">
            <v>0</v>
          </cell>
          <cell r="C154">
            <v>20</v>
          </cell>
          <cell r="D154">
            <v>20</v>
          </cell>
          <cell r="E154">
            <v>5720</v>
          </cell>
          <cell r="F154">
            <v>3127</v>
          </cell>
          <cell r="G154">
            <v>2593</v>
          </cell>
          <cell r="J154">
            <v>3147</v>
          </cell>
          <cell r="K154">
            <v>5708658</v>
          </cell>
          <cell r="L154">
            <v>3147</v>
          </cell>
          <cell r="M154">
            <v>5708658</v>
          </cell>
          <cell r="O154">
            <v>0</v>
          </cell>
          <cell r="P154">
            <v>2593</v>
          </cell>
        </row>
        <row r="155">
          <cell r="A155" t="str">
            <v>AC59-00003C</v>
          </cell>
          <cell r="B155">
            <v>0</v>
          </cell>
          <cell r="C155">
            <v>0</v>
          </cell>
          <cell r="D155">
            <v>0</v>
          </cell>
          <cell r="E155">
            <v>1250</v>
          </cell>
          <cell r="F155">
            <v>1250</v>
          </cell>
          <cell r="G155">
            <v>0</v>
          </cell>
          <cell r="J155">
            <v>1250</v>
          </cell>
          <cell r="K155">
            <v>3871250</v>
          </cell>
          <cell r="L155">
            <v>1250</v>
          </cell>
          <cell r="M155">
            <v>3871250</v>
          </cell>
          <cell r="O155">
            <v>0</v>
          </cell>
          <cell r="P155">
            <v>0</v>
          </cell>
        </row>
        <row r="156">
          <cell r="A156" t="str">
            <v>AC59-00003D</v>
          </cell>
          <cell r="B156">
            <v>0</v>
          </cell>
          <cell r="D156">
            <v>0</v>
          </cell>
          <cell r="E156">
            <v>2702</v>
          </cell>
          <cell r="F156">
            <v>2702</v>
          </cell>
          <cell r="G156">
            <v>0</v>
          </cell>
          <cell r="J156">
            <v>2702</v>
          </cell>
          <cell r="K156">
            <v>4901428</v>
          </cell>
          <cell r="L156">
            <v>2702</v>
          </cell>
          <cell r="M156">
            <v>4901428</v>
          </cell>
          <cell r="O156">
            <v>0</v>
          </cell>
          <cell r="P156">
            <v>0</v>
          </cell>
        </row>
        <row r="157">
          <cell r="A157" t="str">
            <v>NR-4834</v>
          </cell>
          <cell r="B157">
            <v>346</v>
          </cell>
          <cell r="C157">
            <v>5128</v>
          </cell>
          <cell r="D157">
            <v>5474</v>
          </cell>
          <cell r="E157">
            <v>47466</v>
          </cell>
          <cell r="F157">
            <v>45219</v>
          </cell>
          <cell r="G157">
            <v>2593</v>
          </cell>
          <cell r="H157">
            <v>17900</v>
          </cell>
          <cell r="I157">
            <v>36372300</v>
          </cell>
          <cell r="J157">
            <v>30997</v>
          </cell>
          <cell r="K157">
            <v>71490373</v>
          </cell>
          <cell r="L157">
            <v>48897</v>
          </cell>
          <cell r="M157">
            <v>107862673</v>
          </cell>
          <cell r="N157">
            <v>0</v>
          </cell>
          <cell r="O157">
            <v>1450</v>
          </cell>
          <cell r="P157">
            <v>4043</v>
          </cell>
        </row>
        <row r="158">
          <cell r="A158" t="str">
            <v>VTR 합계</v>
          </cell>
          <cell r="B158">
            <v>3306</v>
          </cell>
          <cell r="C158">
            <v>28146</v>
          </cell>
          <cell r="D158">
            <v>30844</v>
          </cell>
          <cell r="E158">
            <v>66946</v>
          </cell>
          <cell r="F158">
            <v>63804</v>
          </cell>
          <cell r="G158">
            <v>5840</v>
          </cell>
          <cell r="H158">
            <v>35117</v>
          </cell>
          <cell r="I158">
            <v>83039136</v>
          </cell>
          <cell r="J158">
            <v>39827</v>
          </cell>
          <cell r="K158">
            <v>96132743</v>
          </cell>
          <cell r="L158">
            <v>74944</v>
          </cell>
          <cell r="M158">
            <v>179172379</v>
          </cell>
          <cell r="N158">
            <v>0</v>
          </cell>
          <cell r="O158">
            <v>17006</v>
          </cell>
          <cell r="P158">
            <v>22846</v>
          </cell>
        </row>
        <row r="159">
          <cell r="A159" t="str">
            <v>DB93-30053N</v>
          </cell>
          <cell r="B159">
            <v>210</v>
          </cell>
          <cell r="C159">
            <v>0</v>
          </cell>
          <cell r="D159">
            <v>210</v>
          </cell>
          <cell r="G159">
            <v>210</v>
          </cell>
          <cell r="L159">
            <v>0</v>
          </cell>
          <cell r="M159">
            <v>0</v>
          </cell>
          <cell r="O159">
            <v>0</v>
          </cell>
          <cell r="P159">
            <v>210</v>
          </cell>
        </row>
        <row r="160">
          <cell r="A160" t="str">
            <v>DB93-30053M</v>
          </cell>
          <cell r="B160">
            <v>0</v>
          </cell>
          <cell r="C160">
            <v>0</v>
          </cell>
          <cell r="D160">
            <v>0</v>
          </cell>
          <cell r="G160">
            <v>0</v>
          </cell>
          <cell r="L160">
            <v>0</v>
          </cell>
          <cell r="M160">
            <v>0</v>
          </cell>
          <cell r="O160">
            <v>0</v>
          </cell>
          <cell r="P160">
            <v>0</v>
          </cell>
        </row>
        <row r="161">
          <cell r="A161" t="str">
            <v>DB93-30053P</v>
          </cell>
          <cell r="B161">
            <v>0</v>
          </cell>
          <cell r="C161">
            <v>0</v>
          </cell>
          <cell r="D161">
            <v>0</v>
          </cell>
          <cell r="G161">
            <v>0</v>
          </cell>
          <cell r="L161">
            <v>0</v>
          </cell>
          <cell r="M161">
            <v>0</v>
          </cell>
          <cell r="O161">
            <v>0</v>
          </cell>
          <cell r="P161">
            <v>0</v>
          </cell>
        </row>
        <row r="162">
          <cell r="A162" t="str">
            <v>DB93-30053S</v>
          </cell>
          <cell r="B162">
            <v>0</v>
          </cell>
          <cell r="C162">
            <v>0</v>
          </cell>
          <cell r="D162">
            <v>0</v>
          </cell>
          <cell r="F162">
            <v>100</v>
          </cell>
          <cell r="G162">
            <v>-100</v>
          </cell>
          <cell r="J162">
            <v>100</v>
          </cell>
          <cell r="K162">
            <v>879500</v>
          </cell>
          <cell r="L162">
            <v>100</v>
          </cell>
          <cell r="M162">
            <v>879500</v>
          </cell>
          <cell r="O162">
            <v>0</v>
          </cell>
          <cell r="P162">
            <v>-100</v>
          </cell>
        </row>
        <row r="163">
          <cell r="A163" t="str">
            <v>DB93-30053U</v>
          </cell>
          <cell r="B163">
            <v>0</v>
          </cell>
          <cell r="C163">
            <v>0</v>
          </cell>
          <cell r="D163">
            <v>0</v>
          </cell>
          <cell r="G163">
            <v>0</v>
          </cell>
          <cell r="L163">
            <v>0</v>
          </cell>
          <cell r="M163">
            <v>0</v>
          </cell>
          <cell r="O163">
            <v>0</v>
          </cell>
          <cell r="P163">
            <v>0</v>
          </cell>
        </row>
        <row r="164">
          <cell r="A164" t="str">
            <v>DB93-30053V</v>
          </cell>
          <cell r="B164">
            <v>86</v>
          </cell>
          <cell r="C164">
            <v>0</v>
          </cell>
          <cell r="D164">
            <v>86</v>
          </cell>
          <cell r="G164">
            <v>86</v>
          </cell>
          <cell r="L164">
            <v>0</v>
          </cell>
          <cell r="M164">
            <v>0</v>
          </cell>
          <cell r="O164">
            <v>0</v>
          </cell>
          <cell r="P164">
            <v>86</v>
          </cell>
        </row>
        <row r="165">
          <cell r="A165" t="str">
            <v>DB93-30053X</v>
          </cell>
          <cell r="B165">
            <v>0</v>
          </cell>
          <cell r="C165">
            <v>0</v>
          </cell>
          <cell r="D165">
            <v>0</v>
          </cell>
          <cell r="G165">
            <v>0</v>
          </cell>
          <cell r="L165">
            <v>0</v>
          </cell>
          <cell r="M165">
            <v>0</v>
          </cell>
          <cell r="O165">
            <v>0</v>
          </cell>
          <cell r="P165">
            <v>0</v>
          </cell>
        </row>
        <row r="166">
          <cell r="A166" t="str">
            <v>DB93-30053Z</v>
          </cell>
          <cell r="B166">
            <v>33</v>
          </cell>
          <cell r="C166">
            <v>0</v>
          </cell>
          <cell r="D166">
            <v>33</v>
          </cell>
          <cell r="G166">
            <v>33</v>
          </cell>
          <cell r="L166">
            <v>0</v>
          </cell>
          <cell r="M166">
            <v>0</v>
          </cell>
          <cell r="O166">
            <v>0</v>
          </cell>
          <cell r="P166">
            <v>33</v>
          </cell>
        </row>
        <row r="167">
          <cell r="A167" t="str">
            <v>DB93-30054A</v>
          </cell>
          <cell r="B167">
            <v>0</v>
          </cell>
          <cell r="C167">
            <v>0</v>
          </cell>
          <cell r="D167">
            <v>0</v>
          </cell>
          <cell r="G167">
            <v>0</v>
          </cell>
          <cell r="L167">
            <v>0</v>
          </cell>
          <cell r="M167">
            <v>0</v>
          </cell>
          <cell r="O167">
            <v>0</v>
          </cell>
          <cell r="P167">
            <v>0</v>
          </cell>
        </row>
        <row r="168">
          <cell r="A168" t="str">
            <v>DB93-30054C</v>
          </cell>
          <cell r="B168">
            <v>0</v>
          </cell>
          <cell r="C168">
            <v>0</v>
          </cell>
          <cell r="D168">
            <v>0</v>
          </cell>
          <cell r="G168">
            <v>0</v>
          </cell>
          <cell r="L168">
            <v>0</v>
          </cell>
          <cell r="M168">
            <v>0</v>
          </cell>
          <cell r="O168">
            <v>0</v>
          </cell>
          <cell r="P168">
            <v>0</v>
          </cell>
        </row>
        <row r="169">
          <cell r="A169" t="str">
            <v>DB93-30054H</v>
          </cell>
          <cell r="B169">
            <v>0</v>
          </cell>
          <cell r="C169">
            <v>0</v>
          </cell>
          <cell r="D169">
            <v>0</v>
          </cell>
          <cell r="G169">
            <v>0</v>
          </cell>
          <cell r="L169">
            <v>0</v>
          </cell>
          <cell r="M169">
            <v>0</v>
          </cell>
          <cell r="O169">
            <v>0</v>
          </cell>
          <cell r="P169">
            <v>0</v>
          </cell>
        </row>
        <row r="170">
          <cell r="A170" t="str">
            <v>DB93-30054N</v>
          </cell>
          <cell r="B170">
            <v>35</v>
          </cell>
          <cell r="C170">
            <v>0</v>
          </cell>
          <cell r="D170">
            <v>35</v>
          </cell>
          <cell r="E170">
            <v>1311</v>
          </cell>
          <cell r="F170">
            <v>1346</v>
          </cell>
          <cell r="G170">
            <v>0</v>
          </cell>
          <cell r="H170">
            <v>624</v>
          </cell>
          <cell r="I170">
            <v>4860960</v>
          </cell>
          <cell r="J170">
            <v>722</v>
          </cell>
          <cell r="K170">
            <v>5660130</v>
          </cell>
          <cell r="L170">
            <v>1346</v>
          </cell>
          <cell r="M170">
            <v>10521090</v>
          </cell>
          <cell r="O170">
            <v>0</v>
          </cell>
          <cell r="P170">
            <v>0</v>
          </cell>
        </row>
        <row r="171">
          <cell r="A171" t="str">
            <v>DB93-30054M</v>
          </cell>
          <cell r="B171">
            <v>0</v>
          </cell>
          <cell r="C171">
            <v>0</v>
          </cell>
          <cell r="D171">
            <v>0</v>
          </cell>
          <cell r="E171">
            <v>74</v>
          </cell>
          <cell r="F171">
            <v>74</v>
          </cell>
          <cell r="G171">
            <v>0</v>
          </cell>
          <cell r="J171">
            <v>74</v>
          </cell>
          <cell r="K171">
            <v>718950</v>
          </cell>
          <cell r="L171">
            <v>74</v>
          </cell>
          <cell r="M171">
            <v>718950</v>
          </cell>
          <cell r="O171">
            <v>0</v>
          </cell>
          <cell r="P171">
            <v>0</v>
          </cell>
        </row>
        <row r="172">
          <cell r="A172" t="str">
            <v>DB93-30054P</v>
          </cell>
          <cell r="B172">
            <v>0</v>
          </cell>
          <cell r="C172">
            <v>39</v>
          </cell>
          <cell r="D172">
            <v>39</v>
          </cell>
          <cell r="E172">
            <v>550</v>
          </cell>
          <cell r="F172">
            <v>550</v>
          </cell>
          <cell r="G172">
            <v>0</v>
          </cell>
          <cell r="H172">
            <v>150</v>
          </cell>
          <cell r="I172">
            <v>1168500</v>
          </cell>
          <cell r="J172">
            <v>400</v>
          </cell>
          <cell r="K172">
            <v>3116000</v>
          </cell>
          <cell r="L172">
            <v>550</v>
          </cell>
          <cell r="M172">
            <v>4284500</v>
          </cell>
          <cell r="O172">
            <v>39</v>
          </cell>
          <cell r="P172">
            <v>39</v>
          </cell>
        </row>
        <row r="173">
          <cell r="A173" t="str">
            <v>DB93-30054S</v>
          </cell>
          <cell r="B173">
            <v>104</v>
          </cell>
          <cell r="C173">
            <v>0</v>
          </cell>
          <cell r="D173">
            <v>104</v>
          </cell>
          <cell r="G173">
            <v>104</v>
          </cell>
          <cell r="L173">
            <v>0</v>
          </cell>
          <cell r="M173">
            <v>0</v>
          </cell>
          <cell r="O173">
            <v>0</v>
          </cell>
          <cell r="P173">
            <v>104</v>
          </cell>
        </row>
        <row r="174">
          <cell r="A174" t="str">
            <v>DB93-30054V</v>
          </cell>
          <cell r="B174">
            <v>46</v>
          </cell>
          <cell r="C174">
            <v>0</v>
          </cell>
          <cell r="D174">
            <v>46</v>
          </cell>
          <cell r="G174">
            <v>46</v>
          </cell>
          <cell r="L174">
            <v>0</v>
          </cell>
          <cell r="M174">
            <v>0</v>
          </cell>
          <cell r="O174">
            <v>0</v>
          </cell>
          <cell r="P174">
            <v>46</v>
          </cell>
        </row>
        <row r="175">
          <cell r="A175" t="str">
            <v>DB93-30071A</v>
          </cell>
          <cell r="B175">
            <v>0</v>
          </cell>
          <cell r="C175">
            <v>0</v>
          </cell>
          <cell r="D175">
            <v>0</v>
          </cell>
          <cell r="G175">
            <v>0</v>
          </cell>
          <cell r="L175">
            <v>0</v>
          </cell>
          <cell r="M175">
            <v>0</v>
          </cell>
          <cell r="O175">
            <v>0</v>
          </cell>
          <cell r="P175">
            <v>0</v>
          </cell>
        </row>
        <row r="176">
          <cell r="A176" t="str">
            <v>DB93-30066K</v>
          </cell>
          <cell r="B176">
            <v>0</v>
          </cell>
          <cell r="C176">
            <v>0</v>
          </cell>
          <cell r="D176">
            <v>0</v>
          </cell>
          <cell r="E176">
            <v>52</v>
          </cell>
          <cell r="F176">
            <v>52</v>
          </cell>
          <cell r="G176">
            <v>0</v>
          </cell>
          <cell r="J176">
            <v>52</v>
          </cell>
          <cell r="K176">
            <v>420680</v>
          </cell>
          <cell r="L176">
            <v>52</v>
          </cell>
          <cell r="M176">
            <v>420680</v>
          </cell>
          <cell r="O176">
            <v>0</v>
          </cell>
          <cell r="P176">
            <v>0</v>
          </cell>
        </row>
        <row r="177">
          <cell r="A177" t="str">
            <v>DB93-30067E</v>
          </cell>
          <cell r="B177">
            <v>0</v>
          </cell>
          <cell r="C177">
            <v>0</v>
          </cell>
          <cell r="D177">
            <v>0</v>
          </cell>
          <cell r="G177">
            <v>0</v>
          </cell>
          <cell r="L177">
            <v>0</v>
          </cell>
          <cell r="M177">
            <v>0</v>
          </cell>
          <cell r="O177">
            <v>0</v>
          </cell>
          <cell r="P177">
            <v>0</v>
          </cell>
        </row>
        <row r="178">
          <cell r="A178" t="str">
            <v>U0</v>
          </cell>
          <cell r="B178">
            <v>614</v>
          </cell>
          <cell r="C178">
            <v>39</v>
          </cell>
          <cell r="D178">
            <v>553</v>
          </cell>
          <cell r="E178">
            <v>1987</v>
          </cell>
          <cell r="F178">
            <v>2122</v>
          </cell>
          <cell r="G178">
            <v>379</v>
          </cell>
          <cell r="H178">
            <v>774</v>
          </cell>
          <cell r="I178">
            <v>6029460</v>
          </cell>
          <cell r="J178">
            <v>1348</v>
          </cell>
          <cell r="K178">
            <v>10795260</v>
          </cell>
          <cell r="L178">
            <v>2122</v>
          </cell>
          <cell r="M178">
            <v>16824720</v>
          </cell>
          <cell r="N178">
            <v>0</v>
          </cell>
          <cell r="O178">
            <v>39</v>
          </cell>
          <cell r="P178">
            <v>418</v>
          </cell>
        </row>
        <row r="179">
          <cell r="A179" t="str">
            <v>DB93-30053E</v>
          </cell>
          <cell r="B179">
            <v>188</v>
          </cell>
          <cell r="C179">
            <v>0</v>
          </cell>
          <cell r="D179">
            <v>188</v>
          </cell>
          <cell r="G179">
            <v>188</v>
          </cell>
          <cell r="L179">
            <v>0</v>
          </cell>
          <cell r="M179">
            <v>0</v>
          </cell>
          <cell r="O179">
            <v>0</v>
          </cell>
          <cell r="P179">
            <v>188</v>
          </cell>
        </row>
        <row r="180">
          <cell r="A180" t="str">
            <v>DB93-30053F</v>
          </cell>
          <cell r="B180">
            <v>13</v>
          </cell>
          <cell r="C180">
            <v>0</v>
          </cell>
          <cell r="D180">
            <v>13</v>
          </cell>
          <cell r="G180">
            <v>13</v>
          </cell>
          <cell r="L180">
            <v>0</v>
          </cell>
          <cell r="M180">
            <v>0</v>
          </cell>
          <cell r="O180">
            <v>0</v>
          </cell>
          <cell r="P180">
            <v>13</v>
          </cell>
        </row>
        <row r="181">
          <cell r="A181" t="str">
            <v>DB93-30053G</v>
          </cell>
          <cell r="B181">
            <v>0</v>
          </cell>
          <cell r="C181">
            <v>0</v>
          </cell>
          <cell r="D181">
            <v>0</v>
          </cell>
          <cell r="E181">
            <v>400</v>
          </cell>
          <cell r="F181">
            <v>400</v>
          </cell>
          <cell r="G181">
            <v>0</v>
          </cell>
          <cell r="H181">
            <v>200</v>
          </cell>
          <cell r="I181">
            <v>572000</v>
          </cell>
          <cell r="J181">
            <v>200</v>
          </cell>
          <cell r="K181">
            <v>572000</v>
          </cell>
          <cell r="L181">
            <v>400</v>
          </cell>
          <cell r="M181">
            <v>1144000</v>
          </cell>
          <cell r="O181">
            <v>0</v>
          </cell>
          <cell r="P181">
            <v>0</v>
          </cell>
        </row>
        <row r="182">
          <cell r="A182" t="str">
            <v>DB93-30053L</v>
          </cell>
          <cell r="B182">
            <v>0</v>
          </cell>
          <cell r="C182">
            <v>0</v>
          </cell>
          <cell r="D182">
            <v>0</v>
          </cell>
          <cell r="E182">
            <v>36</v>
          </cell>
          <cell r="F182">
            <v>36</v>
          </cell>
          <cell r="G182">
            <v>0</v>
          </cell>
          <cell r="H182">
            <v>36</v>
          </cell>
          <cell r="I182">
            <v>100080</v>
          </cell>
          <cell r="L182">
            <v>36</v>
          </cell>
          <cell r="M182">
            <v>100080</v>
          </cell>
          <cell r="O182">
            <v>0</v>
          </cell>
          <cell r="P182">
            <v>0</v>
          </cell>
        </row>
        <row r="183">
          <cell r="A183" t="str">
            <v>DB93-30071R</v>
          </cell>
          <cell r="B183">
            <v>0</v>
          </cell>
          <cell r="C183">
            <v>0</v>
          </cell>
          <cell r="D183">
            <v>0</v>
          </cell>
          <cell r="E183">
            <v>96</v>
          </cell>
          <cell r="F183">
            <v>96</v>
          </cell>
          <cell r="G183">
            <v>0</v>
          </cell>
          <cell r="J183">
            <v>96</v>
          </cell>
          <cell r="K183">
            <v>266880</v>
          </cell>
          <cell r="L183">
            <v>96</v>
          </cell>
          <cell r="M183">
            <v>266880</v>
          </cell>
          <cell r="O183">
            <v>0</v>
          </cell>
          <cell r="P183">
            <v>0</v>
          </cell>
        </row>
        <row r="184">
          <cell r="A184" t="str">
            <v>DB93-30067A</v>
          </cell>
          <cell r="B184">
            <v>0</v>
          </cell>
          <cell r="C184">
            <v>0</v>
          </cell>
          <cell r="D184">
            <v>0</v>
          </cell>
          <cell r="E184">
            <v>96</v>
          </cell>
          <cell r="F184">
            <v>96</v>
          </cell>
          <cell r="G184">
            <v>0</v>
          </cell>
          <cell r="J184">
            <v>96</v>
          </cell>
          <cell r="K184">
            <v>266880</v>
          </cell>
          <cell r="L184">
            <v>96</v>
          </cell>
          <cell r="M184">
            <v>266880</v>
          </cell>
          <cell r="O184">
            <v>0</v>
          </cell>
          <cell r="P184">
            <v>0</v>
          </cell>
        </row>
        <row r="185">
          <cell r="A185" t="str">
            <v>U1</v>
          </cell>
          <cell r="B185">
            <v>201</v>
          </cell>
          <cell r="C185">
            <v>0</v>
          </cell>
          <cell r="D185">
            <v>201</v>
          </cell>
          <cell r="E185">
            <v>628</v>
          </cell>
          <cell r="F185">
            <v>628</v>
          </cell>
          <cell r="G185">
            <v>201</v>
          </cell>
          <cell r="H185">
            <v>236</v>
          </cell>
          <cell r="I185">
            <v>672080</v>
          </cell>
          <cell r="J185">
            <v>392</v>
          </cell>
          <cell r="K185">
            <v>1105760</v>
          </cell>
          <cell r="L185">
            <v>628</v>
          </cell>
          <cell r="M185">
            <v>1777840</v>
          </cell>
          <cell r="N185">
            <v>0</v>
          </cell>
          <cell r="O185">
            <v>0</v>
          </cell>
          <cell r="P185">
            <v>201</v>
          </cell>
        </row>
        <row r="186">
          <cell r="A186" t="str">
            <v>DB93-30054D</v>
          </cell>
          <cell r="B186">
            <v>429</v>
          </cell>
          <cell r="C186">
            <v>0</v>
          </cell>
          <cell r="D186">
            <v>429</v>
          </cell>
          <cell r="G186">
            <v>429</v>
          </cell>
          <cell r="L186">
            <v>0</v>
          </cell>
          <cell r="M186">
            <v>0</v>
          </cell>
          <cell r="O186">
            <v>0</v>
          </cell>
          <cell r="P186">
            <v>429</v>
          </cell>
        </row>
        <row r="187">
          <cell r="A187" t="str">
            <v>DB93-30054Q</v>
          </cell>
          <cell r="B187">
            <v>89</v>
          </cell>
          <cell r="C187">
            <v>0</v>
          </cell>
          <cell r="D187">
            <v>89</v>
          </cell>
          <cell r="G187">
            <v>89</v>
          </cell>
          <cell r="L187">
            <v>0</v>
          </cell>
          <cell r="M187">
            <v>0</v>
          </cell>
          <cell r="O187">
            <v>0</v>
          </cell>
          <cell r="P187">
            <v>89</v>
          </cell>
        </row>
        <row r="188">
          <cell r="A188" t="str">
            <v>DB93-30054F</v>
          </cell>
          <cell r="B188">
            <v>50</v>
          </cell>
          <cell r="C188">
            <v>0</v>
          </cell>
          <cell r="D188">
            <v>50</v>
          </cell>
          <cell r="G188">
            <v>50</v>
          </cell>
          <cell r="L188">
            <v>0</v>
          </cell>
          <cell r="M188">
            <v>0</v>
          </cell>
          <cell r="O188">
            <v>0</v>
          </cell>
          <cell r="P188">
            <v>50</v>
          </cell>
        </row>
        <row r="189">
          <cell r="A189" t="str">
            <v>DB93-30054E</v>
          </cell>
          <cell r="B189">
            <v>12</v>
          </cell>
          <cell r="C189">
            <v>0</v>
          </cell>
          <cell r="D189">
            <v>12</v>
          </cell>
          <cell r="G189">
            <v>12</v>
          </cell>
          <cell r="J189">
            <v>50</v>
          </cell>
          <cell r="K189">
            <v>383750</v>
          </cell>
          <cell r="L189">
            <v>50</v>
          </cell>
          <cell r="M189">
            <v>383750</v>
          </cell>
          <cell r="O189">
            <v>-50</v>
          </cell>
          <cell r="P189">
            <v>-38</v>
          </cell>
        </row>
        <row r="190">
          <cell r="A190" t="str">
            <v>DB93-30054R</v>
          </cell>
          <cell r="B190">
            <v>0</v>
          </cell>
          <cell r="C190">
            <v>0</v>
          </cell>
          <cell r="D190">
            <v>0</v>
          </cell>
          <cell r="G190">
            <v>0</v>
          </cell>
          <cell r="L190">
            <v>0</v>
          </cell>
          <cell r="M190">
            <v>0</v>
          </cell>
          <cell r="O190">
            <v>0</v>
          </cell>
          <cell r="P190">
            <v>0</v>
          </cell>
        </row>
        <row r="191">
          <cell r="A191" t="str">
            <v>DB93-30067Q</v>
          </cell>
          <cell r="B191">
            <v>974</v>
          </cell>
          <cell r="C191">
            <v>0</v>
          </cell>
          <cell r="D191">
            <v>974</v>
          </cell>
          <cell r="E191">
            <v>2998</v>
          </cell>
          <cell r="F191">
            <v>2700</v>
          </cell>
          <cell r="G191">
            <v>1272</v>
          </cell>
          <cell r="H191">
            <v>1104</v>
          </cell>
          <cell r="I191">
            <v>7761120</v>
          </cell>
          <cell r="J191">
            <v>1600</v>
          </cell>
          <cell r="K191">
            <v>11248000</v>
          </cell>
          <cell r="L191">
            <v>2704</v>
          </cell>
          <cell r="M191">
            <v>19009120</v>
          </cell>
          <cell r="O191">
            <v>-4</v>
          </cell>
          <cell r="P191">
            <v>1268</v>
          </cell>
        </row>
        <row r="192">
          <cell r="A192" t="str">
            <v>DB93-30067N</v>
          </cell>
          <cell r="B192">
            <v>127</v>
          </cell>
          <cell r="C192">
            <v>10</v>
          </cell>
          <cell r="D192">
            <v>137</v>
          </cell>
          <cell r="E192">
            <v>680</v>
          </cell>
          <cell r="F192">
            <v>160</v>
          </cell>
          <cell r="G192">
            <v>647</v>
          </cell>
          <cell r="H192">
            <v>160</v>
          </cell>
          <cell r="I192">
            <v>1121000</v>
          </cell>
          <cell r="L192">
            <v>160</v>
          </cell>
          <cell r="M192">
            <v>1121000</v>
          </cell>
          <cell r="O192">
            <v>10</v>
          </cell>
          <cell r="P192">
            <v>657</v>
          </cell>
        </row>
        <row r="193">
          <cell r="A193" t="str">
            <v>DB93-30067P</v>
          </cell>
          <cell r="B193">
            <v>0</v>
          </cell>
          <cell r="C193">
            <v>10</v>
          </cell>
          <cell r="D193">
            <v>10</v>
          </cell>
          <cell r="E193">
            <v>80</v>
          </cell>
          <cell r="F193">
            <v>80</v>
          </cell>
          <cell r="G193">
            <v>0</v>
          </cell>
          <cell r="H193">
            <v>80</v>
          </cell>
          <cell r="I193">
            <v>564000</v>
          </cell>
          <cell r="L193">
            <v>80</v>
          </cell>
          <cell r="M193">
            <v>564000</v>
          </cell>
          <cell r="O193">
            <v>10</v>
          </cell>
          <cell r="P193">
            <v>10</v>
          </cell>
        </row>
        <row r="194">
          <cell r="A194" t="str">
            <v>DB93-30067R</v>
          </cell>
          <cell r="B194">
            <v>970</v>
          </cell>
          <cell r="C194">
            <v>0</v>
          </cell>
          <cell r="D194">
            <v>970</v>
          </cell>
          <cell r="E194">
            <v>4820</v>
          </cell>
          <cell r="F194">
            <v>4800</v>
          </cell>
          <cell r="G194">
            <v>990</v>
          </cell>
          <cell r="H194">
            <v>3400</v>
          </cell>
          <cell r="I194">
            <v>22965000</v>
          </cell>
          <cell r="J194">
            <v>1400</v>
          </cell>
          <cell r="K194">
            <v>9380000</v>
          </cell>
          <cell r="L194">
            <v>4800</v>
          </cell>
          <cell r="M194">
            <v>32345000</v>
          </cell>
          <cell r="O194">
            <v>0</v>
          </cell>
          <cell r="P194">
            <v>990</v>
          </cell>
        </row>
        <row r="195">
          <cell r="A195" t="str">
            <v>DB93-30067T</v>
          </cell>
          <cell r="B195">
            <v>0</v>
          </cell>
          <cell r="C195">
            <v>0</v>
          </cell>
          <cell r="D195">
            <v>0</v>
          </cell>
          <cell r="E195">
            <v>414</v>
          </cell>
          <cell r="F195">
            <v>414</v>
          </cell>
          <cell r="G195">
            <v>0</v>
          </cell>
          <cell r="J195">
            <v>414</v>
          </cell>
          <cell r="K195">
            <v>2674440</v>
          </cell>
          <cell r="L195">
            <v>414</v>
          </cell>
          <cell r="M195">
            <v>2674440</v>
          </cell>
          <cell r="O195">
            <v>0</v>
          </cell>
          <cell r="P195">
            <v>0</v>
          </cell>
        </row>
        <row r="196">
          <cell r="A196" t="str">
            <v>DB93-30067U</v>
          </cell>
          <cell r="B196">
            <v>0</v>
          </cell>
          <cell r="C196">
            <v>0</v>
          </cell>
          <cell r="D196">
            <v>0</v>
          </cell>
          <cell r="E196">
            <v>3115</v>
          </cell>
          <cell r="F196">
            <v>2820</v>
          </cell>
          <cell r="G196">
            <v>295</v>
          </cell>
          <cell r="H196">
            <v>387</v>
          </cell>
          <cell r="I196">
            <v>2539460</v>
          </cell>
          <cell r="J196">
            <v>2433</v>
          </cell>
          <cell r="K196">
            <v>15717180</v>
          </cell>
          <cell r="L196">
            <v>2820</v>
          </cell>
          <cell r="M196">
            <v>18256640</v>
          </cell>
          <cell r="O196">
            <v>0</v>
          </cell>
          <cell r="P196">
            <v>295</v>
          </cell>
        </row>
        <row r="197">
          <cell r="A197" t="str">
            <v>DB93-30067X</v>
          </cell>
          <cell r="B197">
            <v>0</v>
          </cell>
          <cell r="C197">
            <v>0</v>
          </cell>
          <cell r="D197">
            <v>0</v>
          </cell>
          <cell r="E197">
            <v>190</v>
          </cell>
          <cell r="F197">
            <v>190</v>
          </cell>
          <cell r="G197">
            <v>0</v>
          </cell>
          <cell r="H197">
            <v>50</v>
          </cell>
          <cell r="I197">
            <v>363500</v>
          </cell>
          <cell r="J197">
            <v>140</v>
          </cell>
          <cell r="K197">
            <v>1017800</v>
          </cell>
          <cell r="L197">
            <v>190</v>
          </cell>
          <cell r="M197">
            <v>1381300</v>
          </cell>
          <cell r="O197">
            <v>0</v>
          </cell>
          <cell r="P197">
            <v>0</v>
          </cell>
        </row>
        <row r="198">
          <cell r="A198" t="str">
            <v>DB93-30067Y</v>
          </cell>
          <cell r="B198">
            <v>0</v>
          </cell>
          <cell r="C198">
            <v>0</v>
          </cell>
          <cell r="D198">
            <v>0</v>
          </cell>
          <cell r="E198">
            <v>540</v>
          </cell>
          <cell r="F198">
            <v>540</v>
          </cell>
          <cell r="G198">
            <v>0</v>
          </cell>
          <cell r="J198">
            <v>540</v>
          </cell>
          <cell r="K198">
            <v>3868200</v>
          </cell>
          <cell r="L198">
            <v>540</v>
          </cell>
          <cell r="M198">
            <v>3868200</v>
          </cell>
          <cell r="O198">
            <v>0</v>
          </cell>
          <cell r="P198">
            <v>0</v>
          </cell>
        </row>
        <row r="199">
          <cell r="A199" t="str">
            <v>DB93-30067Z</v>
          </cell>
          <cell r="B199">
            <v>0</v>
          </cell>
          <cell r="C199">
            <v>0</v>
          </cell>
          <cell r="D199">
            <v>0</v>
          </cell>
          <cell r="E199">
            <v>50</v>
          </cell>
          <cell r="F199">
            <v>50</v>
          </cell>
          <cell r="G199">
            <v>0</v>
          </cell>
          <cell r="H199">
            <v>50</v>
          </cell>
          <cell r="I199">
            <v>130500</v>
          </cell>
          <cell r="L199">
            <v>50</v>
          </cell>
          <cell r="M199">
            <v>130500</v>
          </cell>
          <cell r="O199">
            <v>0</v>
          </cell>
          <cell r="P199">
            <v>0</v>
          </cell>
        </row>
        <row r="200">
          <cell r="A200" t="str">
            <v>DB93-30067W</v>
          </cell>
          <cell r="B200">
            <v>670</v>
          </cell>
          <cell r="C200">
            <v>0</v>
          </cell>
          <cell r="D200">
            <v>670</v>
          </cell>
          <cell r="E200">
            <v>1480</v>
          </cell>
          <cell r="F200">
            <v>1650</v>
          </cell>
          <cell r="G200">
            <v>500</v>
          </cell>
          <cell r="H200">
            <v>550</v>
          </cell>
          <cell r="I200">
            <v>3866500</v>
          </cell>
          <cell r="J200">
            <v>1100</v>
          </cell>
          <cell r="K200">
            <v>7733000</v>
          </cell>
          <cell r="L200">
            <v>1650</v>
          </cell>
          <cell r="M200">
            <v>11599500</v>
          </cell>
          <cell r="O200">
            <v>0</v>
          </cell>
          <cell r="P200">
            <v>500</v>
          </cell>
        </row>
        <row r="201">
          <cell r="A201" t="str">
            <v>DB93-30071E</v>
          </cell>
          <cell r="B201">
            <v>0</v>
          </cell>
          <cell r="C201">
            <v>0</v>
          </cell>
          <cell r="D201">
            <v>0</v>
          </cell>
          <cell r="E201">
            <v>217</v>
          </cell>
          <cell r="F201">
            <v>217</v>
          </cell>
          <cell r="G201">
            <v>0</v>
          </cell>
          <cell r="J201">
            <v>217</v>
          </cell>
          <cell r="K201">
            <v>1484280</v>
          </cell>
          <cell r="L201">
            <v>217</v>
          </cell>
          <cell r="M201">
            <v>1484280</v>
          </cell>
          <cell r="O201">
            <v>0</v>
          </cell>
          <cell r="P201">
            <v>0</v>
          </cell>
        </row>
        <row r="202">
          <cell r="A202" t="str">
            <v>DB93-30071H</v>
          </cell>
          <cell r="B202">
            <v>0</v>
          </cell>
          <cell r="C202">
            <v>12</v>
          </cell>
          <cell r="D202">
            <v>12</v>
          </cell>
          <cell r="E202">
            <v>11131</v>
          </cell>
          <cell r="F202">
            <v>11131</v>
          </cell>
          <cell r="G202">
            <v>0</v>
          </cell>
          <cell r="H202">
            <v>4068</v>
          </cell>
          <cell r="I202">
            <v>27442450</v>
          </cell>
          <cell r="J202">
            <v>6094</v>
          </cell>
          <cell r="K202">
            <v>40525100</v>
          </cell>
          <cell r="L202">
            <v>10162</v>
          </cell>
          <cell r="M202">
            <v>67967550</v>
          </cell>
          <cell r="O202">
            <v>981</v>
          </cell>
          <cell r="P202">
            <v>981</v>
          </cell>
        </row>
        <row r="203">
          <cell r="A203" t="str">
            <v>DB93-30071K</v>
          </cell>
          <cell r="B203">
            <v>150</v>
          </cell>
          <cell r="C203">
            <v>0</v>
          </cell>
          <cell r="D203">
            <v>150</v>
          </cell>
          <cell r="G203">
            <v>150</v>
          </cell>
          <cell r="L203">
            <v>0</v>
          </cell>
          <cell r="M203">
            <v>0</v>
          </cell>
          <cell r="O203">
            <v>0</v>
          </cell>
          <cell r="P203">
            <v>150</v>
          </cell>
        </row>
        <row r="204">
          <cell r="A204" t="str">
            <v>DB93-30071T</v>
          </cell>
          <cell r="B204">
            <v>0</v>
          </cell>
          <cell r="C204">
            <v>0</v>
          </cell>
          <cell r="E204">
            <v>1040</v>
          </cell>
          <cell r="F204">
            <v>1040</v>
          </cell>
          <cell r="G204">
            <v>0</v>
          </cell>
          <cell r="H204">
            <v>237</v>
          </cell>
          <cell r="I204">
            <v>1576050</v>
          </cell>
          <cell r="J204">
            <v>803</v>
          </cell>
          <cell r="K204">
            <v>5339950</v>
          </cell>
          <cell r="L204">
            <v>1040</v>
          </cell>
          <cell r="M204">
            <v>6916000</v>
          </cell>
          <cell r="O204">
            <v>0</v>
          </cell>
          <cell r="P204">
            <v>0</v>
          </cell>
        </row>
        <row r="205">
          <cell r="A205" t="str">
            <v>DB93-30071J</v>
          </cell>
          <cell r="B205">
            <v>0</v>
          </cell>
          <cell r="C205">
            <v>0</v>
          </cell>
          <cell r="E205">
            <v>404</v>
          </cell>
          <cell r="F205">
            <v>404</v>
          </cell>
          <cell r="G205">
            <v>0</v>
          </cell>
          <cell r="J205">
            <v>404</v>
          </cell>
          <cell r="K205">
            <v>2686600</v>
          </cell>
          <cell r="L205">
            <v>404</v>
          </cell>
          <cell r="M205">
            <v>2686600</v>
          </cell>
          <cell r="O205">
            <v>0</v>
          </cell>
          <cell r="P205">
            <v>0</v>
          </cell>
        </row>
        <row r="206">
          <cell r="A206" t="str">
            <v>DB93-30071G</v>
          </cell>
          <cell r="B206">
            <v>0</v>
          </cell>
          <cell r="C206">
            <v>0</v>
          </cell>
          <cell r="E206">
            <v>651</v>
          </cell>
          <cell r="F206">
            <v>217</v>
          </cell>
          <cell r="G206">
            <v>434</v>
          </cell>
          <cell r="J206">
            <v>217</v>
          </cell>
          <cell r="K206">
            <v>1484280</v>
          </cell>
          <cell r="L206">
            <v>217</v>
          </cell>
          <cell r="M206">
            <v>1484280</v>
          </cell>
          <cell r="O206">
            <v>0</v>
          </cell>
          <cell r="P206">
            <v>434</v>
          </cell>
        </row>
        <row r="207">
          <cell r="A207" t="str">
            <v>DB93-30071U</v>
          </cell>
          <cell r="B207">
            <v>0</v>
          </cell>
          <cell r="C207">
            <v>100</v>
          </cell>
          <cell r="E207">
            <v>4323</v>
          </cell>
          <cell r="F207">
            <v>4323</v>
          </cell>
          <cell r="G207">
            <v>0</v>
          </cell>
          <cell r="H207">
            <v>1659</v>
          </cell>
          <cell r="I207">
            <v>11032350</v>
          </cell>
          <cell r="J207">
            <v>2764</v>
          </cell>
          <cell r="K207">
            <v>18380600</v>
          </cell>
          <cell r="L207">
            <v>4423</v>
          </cell>
          <cell r="M207">
            <v>29412950</v>
          </cell>
          <cell r="O207">
            <v>0</v>
          </cell>
          <cell r="P207">
            <v>0</v>
          </cell>
        </row>
        <row r="208">
          <cell r="A208" t="str">
            <v>DB93-30071F</v>
          </cell>
          <cell r="B208">
            <v>0</v>
          </cell>
          <cell r="C208">
            <v>0</v>
          </cell>
          <cell r="D208">
            <v>0</v>
          </cell>
          <cell r="E208">
            <v>6292</v>
          </cell>
          <cell r="F208">
            <v>6272</v>
          </cell>
          <cell r="G208">
            <v>20</v>
          </cell>
          <cell r="H208">
            <v>2016</v>
          </cell>
          <cell r="I208">
            <v>13883100</v>
          </cell>
          <cell r="J208">
            <v>3413</v>
          </cell>
          <cell r="K208">
            <v>22696450</v>
          </cell>
          <cell r="L208">
            <v>5429</v>
          </cell>
          <cell r="M208">
            <v>36579550</v>
          </cell>
          <cell r="O208">
            <v>843</v>
          </cell>
          <cell r="P208">
            <v>863</v>
          </cell>
        </row>
        <row r="209">
          <cell r="A209" t="str">
            <v>T0</v>
          </cell>
          <cell r="B209">
            <v>3471</v>
          </cell>
          <cell r="C209">
            <v>132</v>
          </cell>
          <cell r="D209">
            <v>3503</v>
          </cell>
          <cell r="E209">
            <v>38425</v>
          </cell>
          <cell r="F209">
            <v>37008</v>
          </cell>
          <cell r="G209">
            <v>4888</v>
          </cell>
          <cell r="H209">
            <v>13761</v>
          </cell>
          <cell r="I209">
            <v>93245030</v>
          </cell>
          <cell r="J209">
            <v>21589</v>
          </cell>
          <cell r="K209">
            <v>144619630</v>
          </cell>
          <cell r="L209">
            <v>35350</v>
          </cell>
          <cell r="M209">
            <v>237864660</v>
          </cell>
          <cell r="N209">
            <v>0</v>
          </cell>
          <cell r="O209">
            <v>1790</v>
          </cell>
          <cell r="P209">
            <v>6678</v>
          </cell>
        </row>
        <row r="210">
          <cell r="A210" t="str">
            <v>DB93-30054J</v>
          </cell>
          <cell r="B210">
            <v>1213</v>
          </cell>
          <cell r="C210">
            <v>0</v>
          </cell>
          <cell r="D210">
            <v>1213</v>
          </cell>
          <cell r="G210">
            <v>1213</v>
          </cell>
          <cell r="L210">
            <v>0</v>
          </cell>
          <cell r="M210">
            <v>0</v>
          </cell>
          <cell r="O210">
            <v>0</v>
          </cell>
          <cell r="P210">
            <v>1213</v>
          </cell>
        </row>
        <row r="211">
          <cell r="A211" t="str">
            <v>DB93-30054K</v>
          </cell>
          <cell r="B211">
            <v>228</v>
          </cell>
          <cell r="C211">
            <v>0</v>
          </cell>
          <cell r="D211">
            <v>228</v>
          </cell>
          <cell r="G211">
            <v>228</v>
          </cell>
          <cell r="L211">
            <v>0</v>
          </cell>
          <cell r="M211">
            <v>0</v>
          </cell>
          <cell r="O211">
            <v>0</v>
          </cell>
          <cell r="P211">
            <v>228</v>
          </cell>
        </row>
        <row r="212">
          <cell r="A212" t="str">
            <v>DB93-30054X</v>
          </cell>
          <cell r="B212">
            <v>3</v>
          </cell>
          <cell r="C212">
            <v>0</v>
          </cell>
          <cell r="D212">
            <v>3</v>
          </cell>
          <cell r="G212">
            <v>3</v>
          </cell>
          <cell r="L212">
            <v>0</v>
          </cell>
          <cell r="M212">
            <v>0</v>
          </cell>
          <cell r="O212">
            <v>0</v>
          </cell>
          <cell r="P212">
            <v>3</v>
          </cell>
        </row>
        <row r="213">
          <cell r="A213" t="str">
            <v>DB93-30054L</v>
          </cell>
          <cell r="B213">
            <v>9</v>
          </cell>
          <cell r="C213">
            <v>0</v>
          </cell>
          <cell r="D213">
            <v>9</v>
          </cell>
          <cell r="G213">
            <v>9</v>
          </cell>
          <cell r="L213">
            <v>0</v>
          </cell>
          <cell r="M213">
            <v>0</v>
          </cell>
          <cell r="O213">
            <v>0</v>
          </cell>
          <cell r="P213">
            <v>9</v>
          </cell>
        </row>
        <row r="214">
          <cell r="A214" t="str">
            <v>DB93-30066G</v>
          </cell>
          <cell r="B214">
            <v>15</v>
          </cell>
          <cell r="C214">
            <v>0</v>
          </cell>
          <cell r="D214">
            <v>15</v>
          </cell>
          <cell r="G214">
            <v>15</v>
          </cell>
          <cell r="L214">
            <v>0</v>
          </cell>
          <cell r="M214">
            <v>0</v>
          </cell>
          <cell r="O214">
            <v>0</v>
          </cell>
          <cell r="P214">
            <v>15</v>
          </cell>
        </row>
        <row r="215">
          <cell r="A215" t="str">
            <v>DB93-30066L</v>
          </cell>
          <cell r="B215">
            <v>0</v>
          </cell>
          <cell r="C215">
            <v>0</v>
          </cell>
          <cell r="D215">
            <v>0</v>
          </cell>
          <cell r="E215">
            <v>2170</v>
          </cell>
          <cell r="F215">
            <v>2170</v>
          </cell>
          <cell r="G215">
            <v>0</v>
          </cell>
          <cell r="H215">
            <v>1310</v>
          </cell>
          <cell r="I215">
            <v>3314300</v>
          </cell>
          <cell r="J215">
            <v>540</v>
          </cell>
          <cell r="K215">
            <v>1366200</v>
          </cell>
          <cell r="L215">
            <v>1850</v>
          </cell>
          <cell r="M215">
            <v>4680500</v>
          </cell>
          <cell r="O215">
            <v>320</v>
          </cell>
          <cell r="P215">
            <v>320</v>
          </cell>
        </row>
        <row r="216">
          <cell r="A216" t="str">
            <v>DB93-30066P</v>
          </cell>
          <cell r="B216">
            <v>0</v>
          </cell>
          <cell r="C216">
            <v>0</v>
          </cell>
          <cell r="D216">
            <v>0</v>
          </cell>
          <cell r="E216">
            <v>2218</v>
          </cell>
          <cell r="F216">
            <v>2218</v>
          </cell>
          <cell r="G216">
            <v>0</v>
          </cell>
          <cell r="H216">
            <v>946</v>
          </cell>
          <cell r="I216">
            <v>3005880</v>
          </cell>
          <cell r="J216">
            <v>1272</v>
          </cell>
          <cell r="K216">
            <v>3854160</v>
          </cell>
          <cell r="L216">
            <v>2218</v>
          </cell>
          <cell r="M216">
            <v>6860040</v>
          </cell>
          <cell r="O216">
            <v>0</v>
          </cell>
          <cell r="P216">
            <v>0</v>
          </cell>
        </row>
        <row r="217">
          <cell r="A217" t="str">
            <v>DB93-30066Q</v>
          </cell>
          <cell r="B217">
            <v>0</v>
          </cell>
          <cell r="C217">
            <v>0</v>
          </cell>
          <cell r="D217">
            <v>0</v>
          </cell>
          <cell r="E217">
            <v>1100</v>
          </cell>
          <cell r="F217">
            <v>1100</v>
          </cell>
          <cell r="G217">
            <v>0</v>
          </cell>
          <cell r="H217">
            <v>150</v>
          </cell>
          <cell r="I217">
            <v>454500</v>
          </cell>
          <cell r="J217">
            <v>950</v>
          </cell>
          <cell r="K217">
            <v>2878500</v>
          </cell>
          <cell r="L217">
            <v>1100</v>
          </cell>
          <cell r="M217">
            <v>3333000</v>
          </cell>
          <cell r="O217">
            <v>0</v>
          </cell>
          <cell r="P217">
            <v>0</v>
          </cell>
        </row>
        <row r="218">
          <cell r="A218" t="str">
            <v>DB93-30067L</v>
          </cell>
          <cell r="B218">
            <v>0</v>
          </cell>
          <cell r="C218">
            <v>0</v>
          </cell>
          <cell r="D218">
            <v>0</v>
          </cell>
          <cell r="E218">
            <v>8035</v>
          </cell>
          <cell r="F218">
            <v>7300</v>
          </cell>
          <cell r="G218">
            <v>735</v>
          </cell>
          <cell r="H218">
            <v>950</v>
          </cell>
          <cell r="I218">
            <v>2403500</v>
          </cell>
          <cell r="J218">
            <v>6350</v>
          </cell>
          <cell r="K218">
            <v>16065500</v>
          </cell>
          <cell r="L218">
            <v>7300</v>
          </cell>
          <cell r="M218">
            <v>18469000</v>
          </cell>
          <cell r="O218">
            <v>0</v>
          </cell>
          <cell r="P218">
            <v>735</v>
          </cell>
        </row>
        <row r="219">
          <cell r="A219" t="str">
            <v>DB93-30066T</v>
          </cell>
          <cell r="B219">
            <v>270</v>
          </cell>
          <cell r="C219">
            <v>0</v>
          </cell>
          <cell r="D219">
            <v>270</v>
          </cell>
          <cell r="G219">
            <v>270</v>
          </cell>
          <cell r="L219">
            <v>0</v>
          </cell>
          <cell r="M219">
            <v>0</v>
          </cell>
          <cell r="O219">
            <v>0</v>
          </cell>
          <cell r="P219">
            <v>270</v>
          </cell>
        </row>
        <row r="220">
          <cell r="A220" t="str">
            <v>DB93-30066S</v>
          </cell>
          <cell r="B220">
            <v>446</v>
          </cell>
          <cell r="C220">
            <v>0</v>
          </cell>
          <cell r="D220">
            <v>446</v>
          </cell>
          <cell r="E220">
            <v>-446</v>
          </cell>
          <cell r="G220">
            <v>0</v>
          </cell>
          <cell r="L220">
            <v>0</v>
          </cell>
          <cell r="M220">
            <v>0</v>
          </cell>
          <cell r="O220">
            <v>0</v>
          </cell>
          <cell r="P220">
            <v>0</v>
          </cell>
        </row>
        <row r="221">
          <cell r="A221" t="str">
            <v>DB93-30067S</v>
          </cell>
          <cell r="B221">
            <v>445</v>
          </cell>
          <cell r="C221">
            <v>0</v>
          </cell>
          <cell r="D221">
            <v>445</v>
          </cell>
          <cell r="G221">
            <v>445</v>
          </cell>
          <cell r="L221">
            <v>0</v>
          </cell>
          <cell r="M221">
            <v>0</v>
          </cell>
          <cell r="O221">
            <v>0</v>
          </cell>
          <cell r="P221">
            <v>445</v>
          </cell>
        </row>
        <row r="222">
          <cell r="A222" t="str">
            <v>DB93-30067M</v>
          </cell>
          <cell r="B222">
            <v>0</v>
          </cell>
          <cell r="C222">
            <v>0</v>
          </cell>
          <cell r="D222">
            <v>0</v>
          </cell>
          <cell r="E222">
            <v>762</v>
          </cell>
          <cell r="F222">
            <v>762</v>
          </cell>
          <cell r="G222">
            <v>0</v>
          </cell>
          <cell r="J222">
            <v>132</v>
          </cell>
          <cell r="K222">
            <v>333960</v>
          </cell>
          <cell r="L222">
            <v>132</v>
          </cell>
          <cell r="M222">
            <v>333960</v>
          </cell>
          <cell r="O222">
            <v>630</v>
          </cell>
          <cell r="P222">
            <v>630</v>
          </cell>
        </row>
        <row r="223">
          <cell r="A223" t="str">
            <v>DB93-30071L</v>
          </cell>
          <cell r="B223">
            <v>0</v>
          </cell>
          <cell r="C223">
            <v>0</v>
          </cell>
          <cell r="D223">
            <v>0</v>
          </cell>
          <cell r="G223">
            <v>0</v>
          </cell>
          <cell r="L223">
            <v>0</v>
          </cell>
          <cell r="M223">
            <v>0</v>
          </cell>
          <cell r="O223">
            <v>0</v>
          </cell>
          <cell r="P223">
            <v>0</v>
          </cell>
        </row>
        <row r="224">
          <cell r="A224" t="str">
            <v>DB93-30071N</v>
          </cell>
          <cell r="B224">
            <v>0</v>
          </cell>
          <cell r="C224">
            <v>0</v>
          </cell>
          <cell r="D224">
            <v>0</v>
          </cell>
          <cell r="E224">
            <v>50</v>
          </cell>
          <cell r="F224">
            <v>50</v>
          </cell>
          <cell r="G224">
            <v>0</v>
          </cell>
          <cell r="J224">
            <v>50</v>
          </cell>
          <cell r="K224">
            <v>126500</v>
          </cell>
          <cell r="L224">
            <v>50</v>
          </cell>
          <cell r="M224">
            <v>126500</v>
          </cell>
          <cell r="O224">
            <v>0</v>
          </cell>
          <cell r="P224">
            <v>0</v>
          </cell>
        </row>
        <row r="225">
          <cell r="A225" t="str">
            <v>DB93-30071M</v>
          </cell>
          <cell r="B225">
            <v>270</v>
          </cell>
          <cell r="C225">
            <v>0</v>
          </cell>
          <cell r="D225">
            <v>270</v>
          </cell>
          <cell r="G225">
            <v>270</v>
          </cell>
          <cell r="L225">
            <v>0</v>
          </cell>
          <cell r="M225">
            <v>0</v>
          </cell>
          <cell r="O225">
            <v>0</v>
          </cell>
          <cell r="P225">
            <v>270</v>
          </cell>
        </row>
        <row r="226">
          <cell r="A226" t="str">
            <v>T1</v>
          </cell>
          <cell r="B226">
            <v>2899</v>
          </cell>
          <cell r="C226">
            <v>0</v>
          </cell>
          <cell r="D226">
            <v>2899</v>
          </cell>
          <cell r="E226">
            <v>13889</v>
          </cell>
          <cell r="F226">
            <v>13600</v>
          </cell>
          <cell r="G226">
            <v>3188</v>
          </cell>
          <cell r="H226">
            <v>3356</v>
          </cell>
          <cell r="I226">
            <v>9178180</v>
          </cell>
          <cell r="J226">
            <v>9294</v>
          </cell>
          <cell r="K226">
            <v>24624820</v>
          </cell>
          <cell r="L226">
            <v>12650</v>
          </cell>
          <cell r="M226">
            <v>33803000</v>
          </cell>
          <cell r="N226">
            <v>0</v>
          </cell>
          <cell r="O226">
            <v>950</v>
          </cell>
          <cell r="P226">
            <v>4138</v>
          </cell>
        </row>
        <row r="227">
          <cell r="A227" t="str">
            <v>DB93-30071P</v>
          </cell>
          <cell r="B227">
            <v>300</v>
          </cell>
          <cell r="C227">
            <v>0</v>
          </cell>
          <cell r="D227">
            <v>300</v>
          </cell>
          <cell r="E227">
            <v>6846</v>
          </cell>
          <cell r="F227">
            <v>6250</v>
          </cell>
          <cell r="G227">
            <v>896</v>
          </cell>
          <cell r="H227">
            <v>5000</v>
          </cell>
          <cell r="I227">
            <v>27500000</v>
          </cell>
          <cell r="J227">
            <v>1250</v>
          </cell>
          <cell r="K227">
            <v>6875000</v>
          </cell>
          <cell r="L227">
            <v>6250</v>
          </cell>
          <cell r="M227">
            <v>34375000</v>
          </cell>
          <cell r="O227">
            <v>0</v>
          </cell>
          <cell r="P227">
            <v>896</v>
          </cell>
        </row>
        <row r="228">
          <cell r="A228" t="str">
            <v>T2</v>
          </cell>
          <cell r="B228">
            <v>300</v>
          </cell>
          <cell r="C228">
            <v>0</v>
          </cell>
          <cell r="D228">
            <v>300</v>
          </cell>
          <cell r="E228">
            <v>6846</v>
          </cell>
          <cell r="F228">
            <v>6250</v>
          </cell>
          <cell r="G228">
            <v>896</v>
          </cell>
          <cell r="H228">
            <v>5000</v>
          </cell>
          <cell r="I228">
            <v>27500000</v>
          </cell>
          <cell r="J228">
            <v>1250</v>
          </cell>
          <cell r="K228">
            <v>6875000</v>
          </cell>
          <cell r="L228">
            <v>6250</v>
          </cell>
          <cell r="M228">
            <v>34375000</v>
          </cell>
          <cell r="N228">
            <v>0</v>
          </cell>
          <cell r="O228">
            <v>0</v>
          </cell>
          <cell r="P228">
            <v>896</v>
          </cell>
        </row>
        <row r="229">
          <cell r="A229" t="str">
            <v>DB93-30053A</v>
          </cell>
          <cell r="B229">
            <v>198</v>
          </cell>
          <cell r="C229">
            <v>0</v>
          </cell>
          <cell r="D229">
            <v>198</v>
          </cell>
          <cell r="F229">
            <v>84</v>
          </cell>
          <cell r="G229">
            <v>114</v>
          </cell>
          <cell r="H229">
            <v>84</v>
          </cell>
          <cell r="I229">
            <v>233520</v>
          </cell>
          <cell r="L229">
            <v>84</v>
          </cell>
          <cell r="M229">
            <v>233520</v>
          </cell>
          <cell r="O229">
            <v>0</v>
          </cell>
          <cell r="P229">
            <v>114</v>
          </cell>
        </row>
        <row r="230">
          <cell r="A230" t="str">
            <v>AW-1807</v>
          </cell>
          <cell r="B230">
            <v>198</v>
          </cell>
          <cell r="C230">
            <v>0</v>
          </cell>
          <cell r="D230">
            <v>198</v>
          </cell>
          <cell r="E230">
            <v>0</v>
          </cell>
          <cell r="F230">
            <v>84</v>
          </cell>
          <cell r="G230">
            <v>114</v>
          </cell>
          <cell r="H230">
            <v>84</v>
          </cell>
          <cell r="I230">
            <v>233520</v>
          </cell>
          <cell r="J230">
            <v>0</v>
          </cell>
          <cell r="K230">
            <v>0</v>
          </cell>
          <cell r="L230">
            <v>84</v>
          </cell>
          <cell r="M230">
            <v>233520</v>
          </cell>
          <cell r="N230">
            <v>0</v>
          </cell>
          <cell r="O230">
            <v>0</v>
          </cell>
          <cell r="P230">
            <v>114</v>
          </cell>
        </row>
        <row r="231">
          <cell r="A231" t="str">
            <v>DB93-300003B</v>
          </cell>
          <cell r="B231">
            <v>0</v>
          </cell>
          <cell r="C231">
            <v>0</v>
          </cell>
          <cell r="D231">
            <v>0</v>
          </cell>
          <cell r="E231">
            <v>20</v>
          </cell>
          <cell r="F231">
            <v>20</v>
          </cell>
          <cell r="G231">
            <v>0</v>
          </cell>
          <cell r="H231">
            <v>20</v>
          </cell>
          <cell r="I231">
            <v>100000</v>
          </cell>
          <cell r="L231">
            <v>20</v>
          </cell>
          <cell r="M231">
            <v>100000</v>
          </cell>
          <cell r="O231">
            <v>0</v>
          </cell>
          <cell r="P231">
            <v>0</v>
          </cell>
        </row>
        <row r="232">
          <cell r="A232" t="str">
            <v>DB93-300041H</v>
          </cell>
          <cell r="B232">
            <v>0</v>
          </cell>
          <cell r="C232">
            <v>0</v>
          </cell>
          <cell r="D232">
            <v>0</v>
          </cell>
          <cell r="E232">
            <v>20</v>
          </cell>
          <cell r="F232">
            <v>20</v>
          </cell>
          <cell r="G232">
            <v>0</v>
          </cell>
          <cell r="H232">
            <v>20</v>
          </cell>
          <cell r="I232">
            <v>400000</v>
          </cell>
          <cell r="L232">
            <v>20</v>
          </cell>
          <cell r="M232">
            <v>400000</v>
          </cell>
          <cell r="O232">
            <v>0</v>
          </cell>
          <cell r="P232">
            <v>0</v>
          </cell>
        </row>
        <row r="233">
          <cell r="A233" t="str">
            <v>DB93-300041Q</v>
          </cell>
          <cell r="B233">
            <v>0</v>
          </cell>
          <cell r="C233">
            <v>0</v>
          </cell>
          <cell r="D233">
            <v>0</v>
          </cell>
          <cell r="E233">
            <v>20</v>
          </cell>
          <cell r="F233">
            <v>20</v>
          </cell>
          <cell r="G233">
            <v>0</v>
          </cell>
          <cell r="H233">
            <v>20</v>
          </cell>
          <cell r="I233">
            <v>400000</v>
          </cell>
          <cell r="L233">
            <v>20</v>
          </cell>
          <cell r="M233">
            <v>400000</v>
          </cell>
          <cell r="O233">
            <v>0</v>
          </cell>
          <cell r="P233">
            <v>0</v>
          </cell>
        </row>
        <row r="234">
          <cell r="A234" t="str">
            <v>신규MODEL</v>
          </cell>
          <cell r="B234">
            <v>0</v>
          </cell>
          <cell r="C234">
            <v>0</v>
          </cell>
          <cell r="D234">
            <v>0</v>
          </cell>
          <cell r="E234">
            <v>60</v>
          </cell>
          <cell r="F234">
            <v>60</v>
          </cell>
          <cell r="G234">
            <v>0</v>
          </cell>
          <cell r="H234">
            <v>60</v>
          </cell>
          <cell r="I234">
            <v>900000</v>
          </cell>
          <cell r="J234">
            <v>0</v>
          </cell>
          <cell r="K234">
            <v>0</v>
          </cell>
          <cell r="L234">
            <v>60</v>
          </cell>
          <cell r="M234">
            <v>900000</v>
          </cell>
          <cell r="N234">
            <v>0</v>
          </cell>
          <cell r="O234">
            <v>0</v>
          </cell>
          <cell r="P234">
            <v>0</v>
          </cell>
        </row>
        <row r="235">
          <cell r="A235" t="str">
            <v>공조기기 합계</v>
          </cell>
          <cell r="B235">
            <v>7683</v>
          </cell>
          <cell r="C235">
            <v>171</v>
          </cell>
          <cell r="D235">
            <v>7654</v>
          </cell>
          <cell r="E235">
            <v>61835</v>
          </cell>
          <cell r="F235">
            <v>59752</v>
          </cell>
          <cell r="G235">
            <v>9666</v>
          </cell>
          <cell r="H235">
            <v>23271</v>
          </cell>
          <cell r="I235">
            <v>137758270</v>
          </cell>
          <cell r="J235">
            <v>33873</v>
          </cell>
          <cell r="K235">
            <v>188020470</v>
          </cell>
          <cell r="L235">
            <v>57144</v>
          </cell>
          <cell r="M235">
            <v>325778740</v>
          </cell>
          <cell r="N235">
            <v>0</v>
          </cell>
          <cell r="O235">
            <v>2779</v>
          </cell>
          <cell r="P235">
            <v>12445</v>
          </cell>
        </row>
        <row r="236">
          <cell r="A236" t="str">
            <v>AD59-60060D</v>
          </cell>
          <cell r="B236">
            <v>0</v>
          </cell>
          <cell r="C236">
            <v>0</v>
          </cell>
          <cell r="D236">
            <v>0</v>
          </cell>
          <cell r="G236">
            <v>0</v>
          </cell>
          <cell r="L236">
            <v>0</v>
          </cell>
          <cell r="M236">
            <v>0</v>
          </cell>
          <cell r="O236">
            <v>0</v>
          </cell>
          <cell r="P236">
            <v>0</v>
          </cell>
        </row>
        <row r="237">
          <cell r="A237" t="str">
            <v>디지탈 합계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AD59-10564A</v>
          </cell>
          <cell r="B238">
            <v>0</v>
          </cell>
          <cell r="C238">
            <v>500</v>
          </cell>
          <cell r="D238">
            <v>500</v>
          </cell>
          <cell r="E238">
            <v>800</v>
          </cell>
          <cell r="F238">
            <v>800</v>
          </cell>
          <cell r="G238">
            <v>0</v>
          </cell>
          <cell r="H238">
            <v>800</v>
          </cell>
          <cell r="I238">
            <v>2037600</v>
          </cell>
          <cell r="J238">
            <v>200</v>
          </cell>
          <cell r="K238">
            <v>509400</v>
          </cell>
          <cell r="L238">
            <v>1000</v>
          </cell>
          <cell r="M238">
            <v>2547000</v>
          </cell>
          <cell r="O238">
            <v>300</v>
          </cell>
          <cell r="P238">
            <v>300</v>
          </cell>
        </row>
        <row r="239">
          <cell r="A239" t="str">
            <v>캠코더 합계</v>
          </cell>
          <cell r="B239">
            <v>0</v>
          </cell>
          <cell r="C239">
            <v>500</v>
          </cell>
          <cell r="D239">
            <v>500</v>
          </cell>
          <cell r="E239">
            <v>800</v>
          </cell>
          <cell r="F239">
            <v>800</v>
          </cell>
          <cell r="G239">
            <v>0</v>
          </cell>
          <cell r="H239">
            <v>800</v>
          </cell>
          <cell r="I239">
            <v>2037600</v>
          </cell>
          <cell r="J239">
            <v>200</v>
          </cell>
          <cell r="K239">
            <v>509400</v>
          </cell>
          <cell r="L239">
            <v>1000</v>
          </cell>
          <cell r="M239">
            <v>2547000</v>
          </cell>
          <cell r="N239">
            <v>0</v>
          </cell>
          <cell r="O239">
            <v>300</v>
          </cell>
          <cell r="P239">
            <v>300</v>
          </cell>
        </row>
        <row r="240">
          <cell r="A240" t="str">
            <v>A9099-A19-00</v>
          </cell>
          <cell r="B240">
            <v>0</v>
          </cell>
          <cell r="C240">
            <v>0</v>
          </cell>
          <cell r="D240">
            <v>0</v>
          </cell>
          <cell r="G240">
            <v>0</v>
          </cell>
          <cell r="L240">
            <v>0</v>
          </cell>
          <cell r="M240">
            <v>0</v>
          </cell>
          <cell r="O240">
            <v>0</v>
          </cell>
          <cell r="P240">
            <v>0</v>
          </cell>
        </row>
        <row r="241">
          <cell r="A241" t="str">
            <v>A9099-A24-00</v>
          </cell>
          <cell r="B241">
            <v>0</v>
          </cell>
          <cell r="C241">
            <v>0</v>
          </cell>
          <cell r="G241">
            <v>0</v>
          </cell>
          <cell r="L241">
            <v>0</v>
          </cell>
          <cell r="M241">
            <v>0</v>
          </cell>
          <cell r="O241">
            <v>0</v>
          </cell>
          <cell r="P241">
            <v>0</v>
          </cell>
        </row>
        <row r="242">
          <cell r="A242" t="str">
            <v>A9099-A27-00</v>
          </cell>
          <cell r="B242">
            <v>0</v>
          </cell>
          <cell r="C242">
            <v>0</v>
          </cell>
          <cell r="G242">
            <v>0</v>
          </cell>
          <cell r="L242">
            <v>0</v>
          </cell>
          <cell r="M242">
            <v>0</v>
          </cell>
          <cell r="O242">
            <v>0</v>
          </cell>
          <cell r="P242">
            <v>0</v>
          </cell>
        </row>
        <row r="243">
          <cell r="A243" t="str">
            <v>A9099-A31-00</v>
          </cell>
          <cell r="B243">
            <v>0</v>
          </cell>
          <cell r="C243">
            <v>0</v>
          </cell>
          <cell r="D243">
            <v>0</v>
          </cell>
          <cell r="G243">
            <v>0</v>
          </cell>
          <cell r="L243">
            <v>0</v>
          </cell>
          <cell r="M243">
            <v>0</v>
          </cell>
          <cell r="O243">
            <v>0</v>
          </cell>
          <cell r="P243">
            <v>0</v>
          </cell>
        </row>
        <row r="244">
          <cell r="A244" t="str">
            <v>진영전자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A9099-A28-00</v>
          </cell>
          <cell r="B245">
            <v>0</v>
          </cell>
          <cell r="C245">
            <v>0</v>
          </cell>
          <cell r="D245">
            <v>0</v>
          </cell>
          <cell r="G245">
            <v>0</v>
          </cell>
          <cell r="L245">
            <v>0</v>
          </cell>
          <cell r="M245">
            <v>0</v>
          </cell>
          <cell r="O245">
            <v>0</v>
          </cell>
          <cell r="P245">
            <v>0</v>
          </cell>
        </row>
        <row r="246">
          <cell r="A246" t="str">
            <v>A9099-A38-00</v>
          </cell>
          <cell r="B246">
            <v>0</v>
          </cell>
          <cell r="C246">
            <v>0</v>
          </cell>
          <cell r="D246">
            <v>0</v>
          </cell>
          <cell r="G246">
            <v>0</v>
          </cell>
          <cell r="L246">
            <v>0</v>
          </cell>
          <cell r="M246">
            <v>0</v>
          </cell>
          <cell r="O246">
            <v>0</v>
          </cell>
          <cell r="P246">
            <v>0</v>
          </cell>
        </row>
        <row r="247">
          <cell r="A247" t="str">
            <v>A9099-A41-00</v>
          </cell>
          <cell r="B247">
            <v>0</v>
          </cell>
          <cell r="C247">
            <v>0</v>
          </cell>
          <cell r="D247">
            <v>0</v>
          </cell>
          <cell r="E247">
            <v>1230</v>
          </cell>
          <cell r="F247">
            <v>1230</v>
          </cell>
          <cell r="G247">
            <v>0</v>
          </cell>
          <cell r="J247">
            <v>1230</v>
          </cell>
          <cell r="L247">
            <v>1230</v>
          </cell>
          <cell r="M247">
            <v>2829000</v>
          </cell>
          <cell r="O247">
            <v>0</v>
          </cell>
          <cell r="P247">
            <v>0</v>
          </cell>
        </row>
        <row r="248">
          <cell r="A248" t="str">
            <v>KRTTKTR-6BIZA</v>
          </cell>
          <cell r="B248">
            <v>0</v>
          </cell>
          <cell r="C248">
            <v>0</v>
          </cell>
          <cell r="D248">
            <v>0</v>
          </cell>
          <cell r="G248">
            <v>0</v>
          </cell>
          <cell r="L248">
            <v>0</v>
          </cell>
          <cell r="M248">
            <v>0</v>
          </cell>
          <cell r="O248">
            <v>0</v>
          </cell>
          <cell r="P248">
            <v>0</v>
          </cell>
        </row>
        <row r="249">
          <cell r="A249" t="str">
            <v>KRTR20URZA</v>
          </cell>
          <cell r="B249">
            <v>0</v>
          </cell>
          <cell r="C249">
            <v>0</v>
          </cell>
          <cell r="D249">
            <v>0</v>
          </cell>
          <cell r="G249">
            <v>0</v>
          </cell>
          <cell r="L249">
            <v>0</v>
          </cell>
          <cell r="M249">
            <v>0</v>
          </cell>
          <cell r="O249">
            <v>0</v>
          </cell>
          <cell r="P249">
            <v>0</v>
          </cell>
        </row>
        <row r="250">
          <cell r="A250" t="str">
            <v>KRTR4081CKDZA</v>
          </cell>
          <cell r="B250">
            <v>0</v>
          </cell>
          <cell r="C250">
            <v>0</v>
          </cell>
          <cell r="D250">
            <v>0</v>
          </cell>
          <cell r="G250">
            <v>0</v>
          </cell>
          <cell r="L250">
            <v>0</v>
          </cell>
          <cell r="M250">
            <v>0</v>
          </cell>
          <cell r="O250">
            <v>0</v>
          </cell>
          <cell r="P250">
            <v>0</v>
          </cell>
        </row>
        <row r="251">
          <cell r="A251" t="str">
            <v>ENES CORP</v>
          </cell>
          <cell r="B251">
            <v>0</v>
          </cell>
          <cell r="C251">
            <v>0</v>
          </cell>
          <cell r="D251">
            <v>0</v>
          </cell>
          <cell r="E251">
            <v>1230</v>
          </cell>
          <cell r="F251">
            <v>1230</v>
          </cell>
          <cell r="G251">
            <v>0</v>
          </cell>
          <cell r="H251">
            <v>0</v>
          </cell>
          <cell r="I251">
            <v>0</v>
          </cell>
          <cell r="J251">
            <v>1230</v>
          </cell>
          <cell r="K251">
            <v>0</v>
          </cell>
          <cell r="L251">
            <v>1230</v>
          </cell>
          <cell r="M251">
            <v>2829000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 t="str">
            <v>A9099-A33-00</v>
          </cell>
          <cell r="B252">
            <v>0</v>
          </cell>
          <cell r="C252">
            <v>0</v>
          </cell>
          <cell r="D252">
            <v>0</v>
          </cell>
          <cell r="G252">
            <v>0</v>
          </cell>
          <cell r="L252">
            <v>0</v>
          </cell>
          <cell r="M252">
            <v>0</v>
          </cell>
          <cell r="O252">
            <v>0</v>
          </cell>
          <cell r="P252">
            <v>0</v>
          </cell>
        </row>
        <row r="253">
          <cell r="A253" t="str">
            <v>A9099-A44-00</v>
          </cell>
          <cell r="B253">
            <v>0</v>
          </cell>
          <cell r="C253" t="str">
            <v>-413</v>
          </cell>
          <cell r="F253">
            <v>413</v>
          </cell>
          <cell r="G253">
            <v>-413</v>
          </cell>
          <cell r="L253">
            <v>0</v>
          </cell>
          <cell r="M253">
            <v>0</v>
          </cell>
          <cell r="O253">
            <v>0</v>
          </cell>
          <cell r="P253">
            <v>-413</v>
          </cell>
        </row>
        <row r="254">
          <cell r="A254" t="str">
            <v>A9099-A37-00</v>
          </cell>
          <cell r="B254">
            <v>0</v>
          </cell>
          <cell r="C254">
            <v>0</v>
          </cell>
          <cell r="D254">
            <v>0</v>
          </cell>
          <cell r="G254">
            <v>0</v>
          </cell>
          <cell r="L254">
            <v>0</v>
          </cell>
          <cell r="M254">
            <v>0</v>
          </cell>
          <cell r="O254">
            <v>0</v>
          </cell>
          <cell r="P254">
            <v>0</v>
          </cell>
        </row>
        <row r="255">
          <cell r="A255" t="str">
            <v>A9099-A40-00</v>
          </cell>
          <cell r="B255">
            <v>0</v>
          </cell>
          <cell r="C255">
            <v>0</v>
          </cell>
          <cell r="D255">
            <v>0</v>
          </cell>
          <cell r="G255">
            <v>0</v>
          </cell>
          <cell r="L255">
            <v>0</v>
          </cell>
          <cell r="M255">
            <v>0</v>
          </cell>
          <cell r="O255">
            <v>0</v>
          </cell>
          <cell r="P255">
            <v>0</v>
          </cell>
        </row>
        <row r="256">
          <cell r="A256" t="str">
            <v>대영 CORP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413</v>
          </cell>
          <cell r="G256">
            <v>-413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-413</v>
          </cell>
        </row>
        <row r="257">
          <cell r="A257" t="str">
            <v>5900002101A</v>
          </cell>
          <cell r="B257">
            <v>0</v>
          </cell>
          <cell r="C257">
            <v>0</v>
          </cell>
          <cell r="D257">
            <v>0</v>
          </cell>
          <cell r="G257">
            <v>0</v>
          </cell>
          <cell r="L257">
            <v>0</v>
          </cell>
          <cell r="M257">
            <v>0</v>
          </cell>
          <cell r="O257">
            <v>0</v>
          </cell>
          <cell r="P257">
            <v>0</v>
          </cell>
        </row>
        <row r="258">
          <cell r="A258" t="str">
            <v>5528-0055-01A</v>
          </cell>
          <cell r="B258">
            <v>0</v>
          </cell>
          <cell r="C258">
            <v>0</v>
          </cell>
          <cell r="D258">
            <v>0</v>
          </cell>
          <cell r="E258">
            <v>300</v>
          </cell>
          <cell r="F258">
            <v>300</v>
          </cell>
          <cell r="G258">
            <v>0</v>
          </cell>
          <cell r="L258">
            <v>0</v>
          </cell>
          <cell r="M258">
            <v>0</v>
          </cell>
          <cell r="O258">
            <v>300</v>
          </cell>
          <cell r="P258">
            <v>300</v>
          </cell>
        </row>
        <row r="259">
          <cell r="A259" t="str">
            <v>5528-0050-01A</v>
          </cell>
          <cell r="B259">
            <v>0</v>
          </cell>
          <cell r="C259">
            <v>300</v>
          </cell>
          <cell r="D259">
            <v>300</v>
          </cell>
          <cell r="G259">
            <v>0</v>
          </cell>
          <cell r="H259">
            <v>300</v>
          </cell>
          <cell r="I259">
            <v>1260000</v>
          </cell>
          <cell r="L259">
            <v>300</v>
          </cell>
          <cell r="M259">
            <v>1260000</v>
          </cell>
          <cell r="O259">
            <v>0</v>
          </cell>
          <cell r="P259">
            <v>0</v>
          </cell>
        </row>
        <row r="260">
          <cell r="A260" t="str">
            <v>55J8-0050-01A</v>
          </cell>
          <cell r="B260">
            <v>0</v>
          </cell>
          <cell r="C260">
            <v>0</v>
          </cell>
          <cell r="D260">
            <v>0</v>
          </cell>
          <cell r="E260">
            <v>100</v>
          </cell>
          <cell r="F260">
            <v>100</v>
          </cell>
          <cell r="G260">
            <v>0</v>
          </cell>
          <cell r="H260">
            <v>100</v>
          </cell>
          <cell r="I260">
            <v>420000</v>
          </cell>
          <cell r="L260">
            <v>100</v>
          </cell>
          <cell r="M260">
            <v>420000</v>
          </cell>
          <cell r="O260">
            <v>0</v>
          </cell>
          <cell r="P260">
            <v>0</v>
          </cell>
        </row>
        <row r="261">
          <cell r="A261" t="str">
            <v>삼성항공</v>
          </cell>
          <cell r="B261">
            <v>0</v>
          </cell>
          <cell r="C261">
            <v>300</v>
          </cell>
          <cell r="D261">
            <v>300</v>
          </cell>
          <cell r="E261">
            <v>400</v>
          </cell>
          <cell r="F261">
            <v>400</v>
          </cell>
          <cell r="G261">
            <v>0</v>
          </cell>
          <cell r="H261">
            <v>400</v>
          </cell>
          <cell r="I261">
            <v>1680000</v>
          </cell>
          <cell r="J261">
            <v>0</v>
          </cell>
          <cell r="K261">
            <v>0</v>
          </cell>
          <cell r="L261">
            <v>400</v>
          </cell>
          <cell r="M261">
            <v>1680000</v>
          </cell>
          <cell r="N261">
            <v>0</v>
          </cell>
          <cell r="O261">
            <v>300</v>
          </cell>
          <cell r="P261">
            <v>300</v>
          </cell>
        </row>
        <row r="262">
          <cell r="A262" t="str">
            <v>AA59-10016M</v>
          </cell>
          <cell r="B262">
            <v>0</v>
          </cell>
          <cell r="C262">
            <v>0</v>
          </cell>
          <cell r="D262">
            <v>0</v>
          </cell>
          <cell r="E262">
            <v>1300</v>
          </cell>
          <cell r="F262">
            <v>1300</v>
          </cell>
          <cell r="G262">
            <v>0</v>
          </cell>
          <cell r="H262">
            <v>1300</v>
          </cell>
          <cell r="I262">
            <v>3445000</v>
          </cell>
          <cell r="L262">
            <v>1300</v>
          </cell>
          <cell r="M262">
            <v>3445000</v>
          </cell>
          <cell r="O262">
            <v>0</v>
          </cell>
          <cell r="P262">
            <v>0</v>
          </cell>
        </row>
        <row r="263">
          <cell r="A263" t="str">
            <v>AA59-10096G</v>
          </cell>
          <cell r="B263">
            <v>0</v>
          </cell>
          <cell r="C263">
            <v>0</v>
          </cell>
          <cell r="D263">
            <v>0</v>
          </cell>
          <cell r="E263">
            <v>1000</v>
          </cell>
          <cell r="F263">
            <v>1000</v>
          </cell>
          <cell r="G263">
            <v>0</v>
          </cell>
          <cell r="H263">
            <v>400</v>
          </cell>
          <cell r="I263">
            <v>932000</v>
          </cell>
          <cell r="J263">
            <v>600</v>
          </cell>
          <cell r="K263">
            <v>1398000</v>
          </cell>
          <cell r="L263">
            <v>1000</v>
          </cell>
          <cell r="M263">
            <v>2330000</v>
          </cell>
          <cell r="O263">
            <v>0</v>
          </cell>
          <cell r="P263">
            <v>0</v>
          </cell>
        </row>
        <row r="264">
          <cell r="A264" t="str">
            <v>AA59-10419D</v>
          </cell>
          <cell r="B264">
            <v>0</v>
          </cell>
          <cell r="C264">
            <v>0</v>
          </cell>
          <cell r="D264">
            <v>0</v>
          </cell>
          <cell r="G264">
            <v>0</v>
          </cell>
          <cell r="L264">
            <v>0</v>
          </cell>
          <cell r="M264">
            <v>0</v>
          </cell>
          <cell r="O264">
            <v>0</v>
          </cell>
          <cell r="P264">
            <v>0</v>
          </cell>
        </row>
        <row r="265">
          <cell r="A265" t="str">
            <v>DB93-30071F-</v>
          </cell>
          <cell r="B265">
            <v>0</v>
          </cell>
          <cell r="C265">
            <v>0</v>
          </cell>
          <cell r="D265">
            <v>0</v>
          </cell>
          <cell r="E265">
            <v>900</v>
          </cell>
          <cell r="F265">
            <v>900</v>
          </cell>
          <cell r="G265">
            <v>0</v>
          </cell>
          <cell r="J265">
            <v>900</v>
          </cell>
          <cell r="K265">
            <v>6333300</v>
          </cell>
          <cell r="L265">
            <v>900</v>
          </cell>
          <cell r="M265">
            <v>6333300</v>
          </cell>
          <cell r="O265">
            <v>0</v>
          </cell>
          <cell r="P265">
            <v>0</v>
          </cell>
        </row>
        <row r="266">
          <cell r="A266" t="str">
            <v>AA59-10117B-</v>
          </cell>
          <cell r="B266">
            <v>0</v>
          </cell>
          <cell r="C266">
            <v>0</v>
          </cell>
          <cell r="E266">
            <v>300</v>
          </cell>
          <cell r="F266">
            <v>300</v>
          </cell>
          <cell r="G266">
            <v>0</v>
          </cell>
          <cell r="H266">
            <v>300</v>
          </cell>
          <cell r="I266">
            <v>629400</v>
          </cell>
          <cell r="L266">
            <v>300</v>
          </cell>
          <cell r="M266">
            <v>629400</v>
          </cell>
          <cell r="O266">
            <v>0</v>
          </cell>
          <cell r="P266">
            <v>0</v>
          </cell>
        </row>
        <row r="267">
          <cell r="A267" t="str">
            <v>AA59-10129C</v>
          </cell>
          <cell r="B267">
            <v>0</v>
          </cell>
          <cell r="C267">
            <v>0</v>
          </cell>
          <cell r="D267">
            <v>0</v>
          </cell>
          <cell r="E267">
            <v>2000</v>
          </cell>
          <cell r="F267">
            <v>2000</v>
          </cell>
          <cell r="G267">
            <v>0</v>
          </cell>
          <cell r="J267">
            <v>2000</v>
          </cell>
          <cell r="K267">
            <v>3706000</v>
          </cell>
          <cell r="L267">
            <v>2000</v>
          </cell>
          <cell r="M267">
            <v>3706000</v>
          </cell>
          <cell r="O267">
            <v>0</v>
          </cell>
          <cell r="P267">
            <v>0</v>
          </cell>
        </row>
        <row r="268">
          <cell r="A268" t="str">
            <v>AC59-10419E</v>
          </cell>
          <cell r="B268">
            <v>0</v>
          </cell>
          <cell r="C268">
            <v>0</v>
          </cell>
          <cell r="D268">
            <v>0</v>
          </cell>
          <cell r="G268">
            <v>0</v>
          </cell>
          <cell r="L268">
            <v>0</v>
          </cell>
          <cell r="M268">
            <v>0</v>
          </cell>
          <cell r="O268">
            <v>0</v>
          </cell>
          <cell r="P268">
            <v>0</v>
          </cell>
        </row>
        <row r="269">
          <cell r="A269" t="str">
            <v>한국IPO</v>
          </cell>
          <cell r="B269">
            <v>0</v>
          </cell>
          <cell r="C269">
            <v>0</v>
          </cell>
          <cell r="D269">
            <v>0</v>
          </cell>
          <cell r="E269">
            <v>5500</v>
          </cell>
          <cell r="F269">
            <v>5500</v>
          </cell>
          <cell r="G269">
            <v>0</v>
          </cell>
          <cell r="H269">
            <v>2000</v>
          </cell>
          <cell r="I269">
            <v>5006400</v>
          </cell>
          <cell r="J269">
            <v>3500</v>
          </cell>
          <cell r="K269">
            <v>11437300</v>
          </cell>
          <cell r="L269">
            <v>5500</v>
          </cell>
          <cell r="M269">
            <v>16443700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 t="str">
            <v>A9099-A42-00</v>
          </cell>
          <cell r="B270">
            <v>0</v>
          </cell>
          <cell r="C270">
            <v>0</v>
          </cell>
          <cell r="D270">
            <v>0</v>
          </cell>
          <cell r="G270">
            <v>0</v>
          </cell>
          <cell r="L270">
            <v>0</v>
          </cell>
          <cell r="M270">
            <v>0</v>
          </cell>
          <cell r="O270">
            <v>0</v>
          </cell>
          <cell r="P270">
            <v>0</v>
          </cell>
        </row>
        <row r="271">
          <cell r="A271" t="str">
            <v>A9099-A45-00</v>
          </cell>
          <cell r="B271">
            <v>0</v>
          </cell>
          <cell r="C271">
            <v>1000</v>
          </cell>
          <cell r="E271">
            <v>10</v>
          </cell>
          <cell r="G271">
            <v>10</v>
          </cell>
          <cell r="J271">
            <v>1000</v>
          </cell>
          <cell r="K271">
            <v>3300300</v>
          </cell>
          <cell r="L271">
            <v>1000</v>
          </cell>
          <cell r="M271">
            <v>3300300</v>
          </cell>
          <cell r="O271">
            <v>0</v>
          </cell>
          <cell r="P271">
            <v>10</v>
          </cell>
        </row>
        <row r="272">
          <cell r="A272" t="str">
            <v>A9099-A25-00</v>
          </cell>
          <cell r="B272">
            <v>0</v>
          </cell>
          <cell r="C272">
            <v>1000</v>
          </cell>
          <cell r="E272">
            <v>10</v>
          </cell>
          <cell r="G272">
            <v>10</v>
          </cell>
          <cell r="J272">
            <v>1000</v>
          </cell>
          <cell r="K272">
            <v>3300300</v>
          </cell>
          <cell r="L272">
            <v>1000</v>
          </cell>
          <cell r="M272">
            <v>3300300</v>
          </cell>
          <cell r="O272">
            <v>0</v>
          </cell>
          <cell r="P272">
            <v>10</v>
          </cell>
        </row>
        <row r="273">
          <cell r="A273" t="str">
            <v>롯데전자</v>
          </cell>
          <cell r="B273">
            <v>0</v>
          </cell>
          <cell r="C273">
            <v>2000</v>
          </cell>
          <cell r="D273">
            <v>0</v>
          </cell>
          <cell r="E273">
            <v>20</v>
          </cell>
          <cell r="F273">
            <v>0</v>
          </cell>
          <cell r="G273">
            <v>20</v>
          </cell>
          <cell r="H273">
            <v>0</v>
          </cell>
          <cell r="I273">
            <v>0</v>
          </cell>
          <cell r="J273">
            <v>2000</v>
          </cell>
          <cell r="K273">
            <v>6600600</v>
          </cell>
          <cell r="L273">
            <v>2000</v>
          </cell>
          <cell r="M273">
            <v>6600600</v>
          </cell>
          <cell r="N273">
            <v>0</v>
          </cell>
          <cell r="O273">
            <v>0</v>
          </cell>
          <cell r="P273">
            <v>20</v>
          </cell>
        </row>
        <row r="274">
          <cell r="A274" t="str">
            <v>AH81-11098A</v>
          </cell>
          <cell r="B274">
            <v>0</v>
          </cell>
          <cell r="C274">
            <v>0</v>
          </cell>
          <cell r="D274">
            <v>0</v>
          </cell>
          <cell r="E274">
            <v>500</v>
          </cell>
          <cell r="F274">
            <v>500</v>
          </cell>
          <cell r="G274">
            <v>0</v>
          </cell>
          <cell r="J274">
            <v>500</v>
          </cell>
          <cell r="K274">
            <v>2000000</v>
          </cell>
          <cell r="L274">
            <v>500</v>
          </cell>
          <cell r="M274">
            <v>2000000</v>
          </cell>
          <cell r="O274">
            <v>0</v>
          </cell>
          <cell r="P274">
            <v>0</v>
          </cell>
        </row>
        <row r="275">
          <cell r="A275" t="str">
            <v>해태전자</v>
          </cell>
          <cell r="B275">
            <v>0</v>
          </cell>
          <cell r="C275">
            <v>0</v>
          </cell>
          <cell r="D275">
            <v>0</v>
          </cell>
          <cell r="E275">
            <v>500</v>
          </cell>
          <cell r="F275">
            <v>500</v>
          </cell>
          <cell r="G275">
            <v>0</v>
          </cell>
          <cell r="H275">
            <v>0</v>
          </cell>
          <cell r="I275">
            <v>0</v>
          </cell>
          <cell r="J275">
            <v>500</v>
          </cell>
          <cell r="K275">
            <v>2000000</v>
          </cell>
          <cell r="L275">
            <v>500</v>
          </cell>
          <cell r="M275">
            <v>2000000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 t="str">
            <v>A9099-A07-100</v>
          </cell>
          <cell r="B276">
            <v>0</v>
          </cell>
          <cell r="C276">
            <v>0</v>
          </cell>
          <cell r="D276">
            <v>0</v>
          </cell>
          <cell r="E276">
            <v>1000</v>
          </cell>
          <cell r="F276">
            <v>1000</v>
          </cell>
          <cell r="G276">
            <v>0</v>
          </cell>
          <cell r="L276">
            <v>0</v>
          </cell>
          <cell r="M276">
            <v>0</v>
          </cell>
          <cell r="O276">
            <v>1000</v>
          </cell>
          <cell r="P276">
            <v>1000</v>
          </cell>
        </row>
        <row r="277">
          <cell r="A277" t="str">
            <v>삼원테크노</v>
          </cell>
          <cell r="B277">
            <v>0</v>
          </cell>
          <cell r="C277">
            <v>0</v>
          </cell>
          <cell r="D277">
            <v>0</v>
          </cell>
          <cell r="E277">
            <v>1000</v>
          </cell>
          <cell r="F277">
            <v>1000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1000</v>
          </cell>
          <cell r="P277">
            <v>1000</v>
          </cell>
        </row>
        <row r="278">
          <cell r="A278" t="str">
            <v>AH81-11098C</v>
          </cell>
          <cell r="B278">
            <v>0</v>
          </cell>
          <cell r="C278">
            <v>0</v>
          </cell>
          <cell r="D278">
            <v>0</v>
          </cell>
          <cell r="G278">
            <v>0</v>
          </cell>
          <cell r="L278">
            <v>0</v>
          </cell>
          <cell r="M278">
            <v>0</v>
          </cell>
          <cell r="O278">
            <v>0</v>
          </cell>
          <cell r="P278">
            <v>0</v>
          </cell>
        </row>
        <row r="279">
          <cell r="A279" t="str">
            <v>음향(사)-롯데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J279">
            <v>0</v>
          </cell>
          <cell r="L279">
            <v>0</v>
          </cell>
          <cell r="M279">
            <v>0</v>
          </cell>
          <cell r="O279">
            <v>0</v>
          </cell>
          <cell r="P279">
            <v>0</v>
          </cell>
        </row>
        <row r="280">
          <cell r="A280" t="str">
            <v>DB93-30053U</v>
          </cell>
          <cell r="B280">
            <v>0</v>
          </cell>
          <cell r="C280">
            <v>0</v>
          </cell>
          <cell r="D280">
            <v>0</v>
          </cell>
          <cell r="G280">
            <v>0</v>
          </cell>
          <cell r="L280">
            <v>0</v>
          </cell>
          <cell r="M280">
            <v>0</v>
          </cell>
          <cell r="O280">
            <v>0</v>
          </cell>
          <cell r="P280">
            <v>0</v>
          </cell>
        </row>
        <row r="281">
          <cell r="A281" t="str">
            <v>(주)삼성남부총판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J281">
            <v>0</v>
          </cell>
          <cell r="L281">
            <v>0</v>
          </cell>
          <cell r="M281">
            <v>0</v>
          </cell>
          <cell r="O281">
            <v>0</v>
          </cell>
          <cell r="P281">
            <v>0</v>
          </cell>
        </row>
        <row r="282">
          <cell r="A282" t="str">
            <v>AC59-10331D</v>
          </cell>
          <cell r="B282">
            <v>0</v>
          </cell>
          <cell r="C282">
            <v>1780</v>
          </cell>
          <cell r="D282">
            <v>1780</v>
          </cell>
          <cell r="G282">
            <v>0</v>
          </cell>
          <cell r="L282">
            <v>0</v>
          </cell>
          <cell r="M282">
            <v>0</v>
          </cell>
          <cell r="O282">
            <v>1780</v>
          </cell>
          <cell r="P282">
            <v>1780</v>
          </cell>
        </row>
        <row r="283">
          <cell r="A283" t="str">
            <v>신흥전자</v>
          </cell>
          <cell r="B283">
            <v>0</v>
          </cell>
          <cell r="C283">
            <v>1780</v>
          </cell>
          <cell r="D283">
            <v>1780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1780</v>
          </cell>
          <cell r="P283">
            <v>1780</v>
          </cell>
        </row>
        <row r="284">
          <cell r="A284" t="str">
            <v>AA59-10095C</v>
          </cell>
          <cell r="B284">
            <v>0</v>
          </cell>
          <cell r="C284">
            <v>0</v>
          </cell>
          <cell r="D284">
            <v>0</v>
          </cell>
          <cell r="G284">
            <v>0</v>
          </cell>
          <cell r="L284">
            <v>0</v>
          </cell>
          <cell r="M284">
            <v>0</v>
          </cell>
          <cell r="O284">
            <v>0</v>
          </cell>
          <cell r="P284">
            <v>0</v>
          </cell>
        </row>
        <row r="285">
          <cell r="A285" t="str">
            <v>AA59-10020C-</v>
          </cell>
          <cell r="B285">
            <v>0</v>
          </cell>
          <cell r="C285">
            <v>0</v>
          </cell>
          <cell r="E285">
            <v>2000</v>
          </cell>
          <cell r="F285">
            <v>2000</v>
          </cell>
          <cell r="G285">
            <v>0</v>
          </cell>
          <cell r="J285">
            <v>2000</v>
          </cell>
          <cell r="L285">
            <v>2000</v>
          </cell>
          <cell r="M285">
            <v>7272727</v>
          </cell>
          <cell r="O285">
            <v>0</v>
          </cell>
          <cell r="P285">
            <v>0</v>
          </cell>
        </row>
        <row r="286">
          <cell r="A286" t="str">
            <v>AA59-10081V</v>
          </cell>
          <cell r="B286">
            <v>0</v>
          </cell>
          <cell r="C286">
            <v>0</v>
          </cell>
          <cell r="D286">
            <v>0</v>
          </cell>
          <cell r="E286">
            <v>3000</v>
          </cell>
          <cell r="F286">
            <v>3000</v>
          </cell>
          <cell r="G286">
            <v>0</v>
          </cell>
          <cell r="J286">
            <v>3000</v>
          </cell>
          <cell r="L286">
            <v>3000</v>
          </cell>
          <cell r="M286">
            <v>6818182</v>
          </cell>
          <cell r="O286">
            <v>0</v>
          </cell>
          <cell r="P286">
            <v>0</v>
          </cell>
        </row>
        <row r="287">
          <cell r="A287" t="str">
            <v>서흥전자</v>
          </cell>
          <cell r="B287">
            <v>0</v>
          </cell>
          <cell r="C287">
            <v>0</v>
          </cell>
          <cell r="D287">
            <v>0</v>
          </cell>
          <cell r="E287">
            <v>5000</v>
          </cell>
          <cell r="F287">
            <v>5000</v>
          </cell>
          <cell r="G287">
            <v>0</v>
          </cell>
          <cell r="H287">
            <v>0</v>
          </cell>
          <cell r="I287">
            <v>0</v>
          </cell>
          <cell r="J287">
            <v>5000</v>
          </cell>
          <cell r="K287">
            <v>0</v>
          </cell>
          <cell r="L287">
            <v>5000</v>
          </cell>
          <cell r="M287">
            <v>14090909</v>
          </cell>
          <cell r="N287">
            <v>0</v>
          </cell>
          <cell r="O287">
            <v>0</v>
          </cell>
          <cell r="P287">
            <v>0</v>
          </cell>
        </row>
        <row r="288">
          <cell r="A288" t="str">
            <v>기타 거래선 합계</v>
          </cell>
          <cell r="B288">
            <v>0</v>
          </cell>
          <cell r="C288">
            <v>4580</v>
          </cell>
          <cell r="D288">
            <v>2580</v>
          </cell>
          <cell r="E288">
            <v>14450</v>
          </cell>
          <cell r="F288">
            <v>14843</v>
          </cell>
          <cell r="G288">
            <v>-393</v>
          </cell>
          <cell r="H288">
            <v>3200</v>
          </cell>
          <cell r="I288">
            <v>8724000</v>
          </cell>
          <cell r="J288">
            <v>12430</v>
          </cell>
          <cell r="K288">
            <v>20547300</v>
          </cell>
          <cell r="L288">
            <v>15630</v>
          </cell>
          <cell r="M288">
            <v>46191209</v>
          </cell>
          <cell r="N288">
            <v>0</v>
          </cell>
          <cell r="O288">
            <v>3380</v>
          </cell>
          <cell r="P288">
            <v>2987</v>
          </cell>
        </row>
        <row r="289">
          <cell r="A289" t="str">
            <v>TOTAL</v>
          </cell>
          <cell r="B289">
            <v>19457</v>
          </cell>
          <cell r="C289">
            <v>35787</v>
          </cell>
          <cell r="D289">
            <v>48530</v>
          </cell>
          <cell r="E289">
            <v>209720</v>
          </cell>
          <cell r="F289">
            <v>205952</v>
          </cell>
          <cell r="G289">
            <v>22448</v>
          </cell>
          <cell r="H289">
            <v>91955</v>
          </cell>
          <cell r="I289">
            <v>301974270</v>
          </cell>
          <cell r="J289">
            <v>123645</v>
          </cell>
          <cell r="K289">
            <v>394640601</v>
          </cell>
          <cell r="L289">
            <v>215600</v>
          </cell>
          <cell r="M289">
            <v>713535280</v>
          </cell>
          <cell r="N289">
            <v>0</v>
          </cell>
          <cell r="O289">
            <v>25726</v>
          </cell>
          <cell r="P289">
            <v>48224</v>
          </cell>
        </row>
      </sheetData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상"/>
      <sheetName val="A STATE"/>
      <sheetName val="손익계산서"/>
      <sheetName val="수불명세서"/>
      <sheetName val="수불명세서11118-신원가 검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정10차"/>
      <sheetName val="A STATE"/>
      <sheetName val="1차상"/>
      <sheetName val="수불명세서"/>
      <sheetName val="1차상?1118-신원가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매출채권"/>
      <sheetName val="Sheet1"/>
      <sheetName val="Sheet2"/>
      <sheetName val="Sheet3"/>
      <sheetName val="97물량"/>
      <sheetName val="정10차"/>
      <sheetName val="정1차"/>
      <sheetName val="정2차"/>
      <sheetName val="정3차"/>
      <sheetName val="정4차"/>
      <sheetName val="정5차"/>
      <sheetName val="정6차"/>
      <sheetName val="정7차"/>
      <sheetName val="정8차"/>
      <sheetName val="정9차"/>
      <sheetName val="1차상"/>
      <sheetName val="정10차?]97물량?_x0000_瑢Ǿ"/>
      <sheetName val="정1차??]97물량?_x0000_瑢"/>
      <sheetName val="정2차??]97물량?_x0000_瑢"/>
      <sheetName val="정3차??]97물량?_x0000_瑢"/>
      <sheetName val="정4차??]97물량?_x0000_瑢"/>
      <sheetName val="정5차??]97물량?_x0000_瑢"/>
      <sheetName val="정6차??]97물량?_x0000_瑢"/>
      <sheetName val="정7차??]97물량?_x0000_瑢"/>
      <sheetName val="정8차??]97물량?_x0000_瑢"/>
      <sheetName val="정9차??]97물량?_x0000_瑢"/>
      <sheetName val="정10차?]97물량?畅䠠I"/>
      <sheetName val="정1차??]97물량?畅䠠"/>
      <sheetName val="정2차??]97물량?畅䠠"/>
      <sheetName val="정3차??]97물량?畅䠠"/>
      <sheetName val="정4차??]97물량?畅䠠"/>
      <sheetName val="정5차??]97물량?畅䠠"/>
      <sheetName val="정6차??]97물량?畅䠠"/>
      <sheetName val="정7차??]97물량?畅䠠"/>
      <sheetName val="정8차??]97물량?畅䠠"/>
      <sheetName val="정9차??]97물량?畅䠠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요지표"/>
      <sheetName val="매출채권"/>
      <sheetName val="피엘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221"/>
  <sheetViews>
    <sheetView workbookViewId="0">
      <selection activeCell="M216" sqref="M216"/>
    </sheetView>
  </sheetViews>
  <sheetFormatPr defaultRowHeight="12.75" x14ac:dyDescent="0.2"/>
  <cols>
    <col min="1" max="1" width="7" bestFit="1" customWidth="1"/>
    <col min="2" max="2" width="12" bestFit="1" customWidth="1"/>
    <col min="3" max="3" width="6" bestFit="1" customWidth="1"/>
    <col min="4" max="4" width="13" bestFit="1" customWidth="1"/>
    <col min="5" max="5" width="14" bestFit="1" customWidth="1"/>
    <col min="6" max="6" width="16" hidden="1" customWidth="1"/>
    <col min="7" max="7" width="20" bestFit="1" customWidth="1"/>
    <col min="8" max="8" width="42" bestFit="1" customWidth="1"/>
    <col min="9" max="10" width="9" bestFit="1" customWidth="1"/>
    <col min="11" max="13" width="9" customWidth="1"/>
    <col min="14" max="14" width="42" bestFit="1" customWidth="1"/>
    <col min="15" max="16" width="13" bestFit="1" customWidth="1"/>
    <col min="17" max="17" width="18" bestFit="1" customWidth="1"/>
    <col min="18" max="18" width="19" bestFit="1" customWidth="1"/>
    <col min="19" max="19" width="13" bestFit="1" customWidth="1"/>
    <col min="20" max="20" width="21" bestFit="1" customWidth="1"/>
    <col min="21" max="21" width="20" bestFit="1" customWidth="1"/>
    <col min="22" max="22" width="17" bestFit="1" customWidth="1"/>
    <col min="23" max="23" width="13" bestFit="1" customWidth="1"/>
    <col min="24" max="24" width="17" bestFit="1" customWidth="1"/>
    <col min="25" max="26" width="13" bestFit="1" customWidth="1"/>
    <col min="27" max="27" width="20" bestFit="1" customWidth="1"/>
    <col min="28" max="28" width="19" bestFit="1" customWidth="1"/>
    <col min="29" max="29" width="20" bestFit="1" customWidth="1"/>
    <col min="30" max="30" width="15" bestFit="1" customWidth="1"/>
  </cols>
  <sheetData>
    <row r="1" spans="1:30" ht="51" x14ac:dyDescent="0.2">
      <c r="A1" s="1" t="s">
        <v>1060</v>
      </c>
      <c r="B1" s="1" t="s">
        <v>1058</v>
      </c>
      <c r="C1" s="5" t="s">
        <v>1061</v>
      </c>
      <c r="D1" s="1" t="s">
        <v>1051</v>
      </c>
      <c r="E1" s="1" t="s">
        <v>1052</v>
      </c>
      <c r="F1" s="1" t="s">
        <v>1053</v>
      </c>
      <c r="G1" s="1" t="s">
        <v>1054</v>
      </c>
      <c r="H1" s="1" t="s">
        <v>1055</v>
      </c>
      <c r="I1" s="5" t="s">
        <v>1056</v>
      </c>
      <c r="J1" s="5" t="s">
        <v>1057</v>
      </c>
      <c r="K1" s="5" t="s">
        <v>1078</v>
      </c>
      <c r="L1" s="5" t="s">
        <v>1079</v>
      </c>
      <c r="M1" s="5" t="s">
        <v>1080</v>
      </c>
      <c r="N1" s="1" t="s">
        <v>1059</v>
      </c>
      <c r="O1" s="1" t="s">
        <v>1062</v>
      </c>
      <c r="P1" s="5" t="s">
        <v>1063</v>
      </c>
      <c r="Q1" s="1" t="s">
        <v>1064</v>
      </c>
      <c r="R1" s="1" t="s">
        <v>1065</v>
      </c>
      <c r="S1" s="1" t="s">
        <v>1066</v>
      </c>
      <c r="T1" s="1" t="s">
        <v>1067</v>
      </c>
      <c r="U1" s="1" t="s">
        <v>1068</v>
      </c>
      <c r="V1" s="1" t="s">
        <v>1069</v>
      </c>
      <c r="W1" s="1" t="s">
        <v>1070</v>
      </c>
      <c r="X1" s="1" t="s">
        <v>1071</v>
      </c>
      <c r="Y1" s="1" t="s">
        <v>1072</v>
      </c>
      <c r="Z1" s="5" t="s">
        <v>1073</v>
      </c>
      <c r="AA1" s="1" t="s">
        <v>1074</v>
      </c>
      <c r="AB1" s="1" t="s">
        <v>1075</v>
      </c>
      <c r="AC1" s="1" t="s">
        <v>1076</v>
      </c>
      <c r="AD1" s="1" t="s">
        <v>1077</v>
      </c>
    </row>
    <row r="2" spans="1:30" hidden="1" x14ac:dyDescent="0.2">
      <c r="A2" t="s">
        <v>1</v>
      </c>
      <c r="B2" t="s">
        <v>3</v>
      </c>
      <c r="C2" t="s">
        <v>4</v>
      </c>
      <c r="D2" t="s">
        <v>101</v>
      </c>
      <c r="E2" t="s">
        <v>102</v>
      </c>
      <c r="F2" t="s">
        <v>0</v>
      </c>
      <c r="G2" t="s">
        <v>83</v>
      </c>
      <c r="H2" t="s">
        <v>84</v>
      </c>
      <c r="I2" s="2">
        <v>50</v>
      </c>
      <c r="J2" s="2">
        <v>50</v>
      </c>
      <c r="K2" s="2">
        <f>I2-J2</f>
        <v>0</v>
      </c>
      <c r="L2" s="2">
        <f ca="1">TODAY()-P2</f>
        <v>47</v>
      </c>
      <c r="M2" s="2" t="s">
        <v>1083</v>
      </c>
      <c r="N2" t="s">
        <v>89</v>
      </c>
      <c r="O2" s="3">
        <v>46247</v>
      </c>
      <c r="P2" s="3">
        <v>46247</v>
      </c>
      <c r="Q2" s="3">
        <v>46247</v>
      </c>
      <c r="R2" s="3">
        <v>46247</v>
      </c>
      <c r="S2" t="s">
        <v>103</v>
      </c>
      <c r="T2" t="s">
        <v>104</v>
      </c>
      <c r="U2" s="3">
        <v>46290</v>
      </c>
      <c r="V2" s="4">
        <v>0.58864583333332998</v>
      </c>
      <c r="W2" s="3">
        <v>46290</v>
      </c>
      <c r="X2" t="s">
        <v>2</v>
      </c>
      <c r="Y2" t="s">
        <v>0</v>
      </c>
      <c r="Z2" s="3"/>
      <c r="AA2" s="4">
        <v>0</v>
      </c>
      <c r="AB2" s="3">
        <v>46290</v>
      </c>
      <c r="AC2" s="3">
        <v>46247</v>
      </c>
      <c r="AD2" t="s">
        <v>0</v>
      </c>
    </row>
    <row r="3" spans="1:30" hidden="1" x14ac:dyDescent="0.2">
      <c r="A3" t="s">
        <v>1</v>
      </c>
      <c r="B3" t="s">
        <v>5</v>
      </c>
      <c r="C3" t="s">
        <v>4</v>
      </c>
      <c r="D3" t="s">
        <v>105</v>
      </c>
      <c r="E3" t="s">
        <v>106</v>
      </c>
      <c r="F3" t="s">
        <v>0</v>
      </c>
      <c r="G3" t="s">
        <v>77</v>
      </c>
      <c r="H3" t="s">
        <v>78</v>
      </c>
      <c r="I3" s="2">
        <v>50</v>
      </c>
      <c r="J3" s="2">
        <v>50</v>
      </c>
      <c r="K3" s="2">
        <f t="shared" ref="K3:K66" si="0">I3-J3</f>
        <v>0</v>
      </c>
      <c r="L3" s="2">
        <f t="shared" ref="L3:L66" ca="1" si="1">TODAY()-P3</f>
        <v>47</v>
      </c>
      <c r="M3" s="2" t="s">
        <v>1083</v>
      </c>
      <c r="N3" t="s">
        <v>89</v>
      </c>
      <c r="O3" s="3">
        <v>46247</v>
      </c>
      <c r="P3" s="3">
        <v>46247</v>
      </c>
      <c r="Q3" s="3">
        <v>46247</v>
      </c>
      <c r="R3" s="3">
        <v>46247</v>
      </c>
      <c r="S3" t="s">
        <v>107</v>
      </c>
      <c r="T3" t="s">
        <v>108</v>
      </c>
      <c r="U3" s="3">
        <v>46287</v>
      </c>
      <c r="V3" s="4">
        <v>0.38944444444443999</v>
      </c>
      <c r="W3" s="3">
        <v>46247</v>
      </c>
      <c r="X3" t="s">
        <v>2</v>
      </c>
      <c r="Y3" t="s">
        <v>0</v>
      </c>
      <c r="Z3" s="3"/>
      <c r="AA3" s="4">
        <v>0</v>
      </c>
      <c r="AB3" s="3">
        <v>46287</v>
      </c>
      <c r="AC3" s="3">
        <v>46247</v>
      </c>
      <c r="AD3" t="s">
        <v>0</v>
      </c>
    </row>
    <row r="4" spans="1:30" hidden="1" x14ac:dyDescent="0.2">
      <c r="A4" t="s">
        <v>1</v>
      </c>
      <c r="B4" t="s">
        <v>5</v>
      </c>
      <c r="C4" t="s">
        <v>4</v>
      </c>
      <c r="D4" t="s">
        <v>109</v>
      </c>
      <c r="E4" t="s">
        <v>110</v>
      </c>
      <c r="F4" t="s">
        <v>0</v>
      </c>
      <c r="G4" t="s">
        <v>79</v>
      </c>
      <c r="H4" t="s">
        <v>80</v>
      </c>
      <c r="I4" s="2">
        <v>50</v>
      </c>
      <c r="J4" s="2">
        <v>50</v>
      </c>
      <c r="K4" s="2">
        <f t="shared" si="0"/>
        <v>0</v>
      </c>
      <c r="L4" s="2">
        <f t="shared" ca="1" si="1"/>
        <v>47</v>
      </c>
      <c r="M4" s="2" t="s">
        <v>1083</v>
      </c>
      <c r="N4" t="s">
        <v>89</v>
      </c>
      <c r="O4" s="3">
        <v>46247</v>
      </c>
      <c r="P4" s="3">
        <v>46247</v>
      </c>
      <c r="Q4" s="3">
        <v>46247</v>
      </c>
      <c r="R4" s="3">
        <v>46247</v>
      </c>
      <c r="S4" t="s">
        <v>111</v>
      </c>
      <c r="T4" t="s">
        <v>112</v>
      </c>
      <c r="U4" s="3">
        <v>46289</v>
      </c>
      <c r="V4" s="4">
        <v>0.42689814814815003</v>
      </c>
      <c r="W4" s="3">
        <v>46288</v>
      </c>
      <c r="X4" t="s">
        <v>2</v>
      </c>
      <c r="Y4" t="s">
        <v>0</v>
      </c>
      <c r="Z4" s="3"/>
      <c r="AA4" s="4">
        <v>0</v>
      </c>
      <c r="AB4" s="3">
        <v>46289</v>
      </c>
      <c r="AC4" s="3">
        <v>46247</v>
      </c>
      <c r="AD4" t="s">
        <v>0</v>
      </c>
    </row>
    <row r="5" spans="1:30" hidden="1" x14ac:dyDescent="0.2">
      <c r="A5" t="s">
        <v>1</v>
      </c>
      <c r="B5" t="s">
        <v>5</v>
      </c>
      <c r="C5" t="s">
        <v>4</v>
      </c>
      <c r="D5" t="s">
        <v>113</v>
      </c>
      <c r="E5" t="s">
        <v>114</v>
      </c>
      <c r="F5" t="s">
        <v>0</v>
      </c>
      <c r="G5" t="s">
        <v>77</v>
      </c>
      <c r="H5" t="s">
        <v>78</v>
      </c>
      <c r="I5" s="2">
        <v>50</v>
      </c>
      <c r="J5" s="2">
        <v>50</v>
      </c>
      <c r="K5" s="2">
        <f t="shared" si="0"/>
        <v>0</v>
      </c>
      <c r="L5" s="2">
        <f t="shared" ca="1" si="1"/>
        <v>47</v>
      </c>
      <c r="M5" s="2" t="s">
        <v>1083</v>
      </c>
      <c r="N5" t="s">
        <v>89</v>
      </c>
      <c r="O5" s="3">
        <v>46247</v>
      </c>
      <c r="P5" s="3">
        <v>46247</v>
      </c>
      <c r="Q5" s="3">
        <v>46247</v>
      </c>
      <c r="R5" s="3">
        <v>46247</v>
      </c>
      <c r="S5" t="s">
        <v>115</v>
      </c>
      <c r="T5" t="s">
        <v>116</v>
      </c>
      <c r="U5" s="3">
        <v>46273</v>
      </c>
      <c r="V5" s="4">
        <v>0.46908564814815001</v>
      </c>
      <c r="W5" s="3">
        <v>46247</v>
      </c>
      <c r="X5" t="s">
        <v>67</v>
      </c>
      <c r="Y5" t="s">
        <v>0</v>
      </c>
      <c r="Z5" s="3"/>
      <c r="AA5" s="4">
        <v>0</v>
      </c>
      <c r="AB5" s="3">
        <v>46273</v>
      </c>
      <c r="AC5" s="3">
        <v>46247</v>
      </c>
      <c r="AD5" t="s">
        <v>0</v>
      </c>
    </row>
    <row r="6" spans="1:30" hidden="1" x14ac:dyDescent="0.2">
      <c r="A6" t="s">
        <v>1</v>
      </c>
      <c r="B6" t="s">
        <v>5</v>
      </c>
      <c r="C6" t="s">
        <v>4</v>
      </c>
      <c r="D6" t="s">
        <v>117</v>
      </c>
      <c r="E6" t="s">
        <v>118</v>
      </c>
      <c r="F6" t="s">
        <v>0</v>
      </c>
      <c r="G6" t="s">
        <v>79</v>
      </c>
      <c r="H6" t="s">
        <v>80</v>
      </c>
      <c r="I6" s="2">
        <v>50</v>
      </c>
      <c r="J6" s="2">
        <v>50</v>
      </c>
      <c r="K6" s="2">
        <f t="shared" si="0"/>
        <v>0</v>
      </c>
      <c r="L6" s="2">
        <f t="shared" ca="1" si="1"/>
        <v>47</v>
      </c>
      <c r="M6" s="2" t="s">
        <v>1083</v>
      </c>
      <c r="N6" t="s">
        <v>89</v>
      </c>
      <c r="O6" s="3">
        <v>46247</v>
      </c>
      <c r="P6" s="3">
        <v>46247</v>
      </c>
      <c r="Q6" s="3">
        <v>46247</v>
      </c>
      <c r="R6" s="3">
        <v>46247</v>
      </c>
      <c r="S6" t="s">
        <v>119</v>
      </c>
      <c r="T6" t="s">
        <v>120</v>
      </c>
      <c r="U6" s="3">
        <v>46273</v>
      </c>
      <c r="V6" s="4">
        <v>0.48336805555556001</v>
      </c>
      <c r="W6" s="3">
        <v>46272</v>
      </c>
      <c r="X6" t="s">
        <v>2</v>
      </c>
      <c r="Y6" t="s">
        <v>0</v>
      </c>
      <c r="Z6" s="3"/>
      <c r="AA6" s="4">
        <v>0</v>
      </c>
      <c r="AB6" s="3">
        <v>46273</v>
      </c>
      <c r="AC6" s="3">
        <v>46247</v>
      </c>
      <c r="AD6" t="s">
        <v>0</v>
      </c>
    </row>
    <row r="7" spans="1:30" hidden="1" x14ac:dyDescent="0.2">
      <c r="A7" t="s">
        <v>1</v>
      </c>
      <c r="B7" t="s">
        <v>3</v>
      </c>
      <c r="C7" t="s">
        <v>4</v>
      </c>
      <c r="D7" t="s">
        <v>121</v>
      </c>
      <c r="E7" t="s">
        <v>122</v>
      </c>
      <c r="F7" t="s">
        <v>0</v>
      </c>
      <c r="G7" t="s">
        <v>81</v>
      </c>
      <c r="H7" t="s">
        <v>82</v>
      </c>
      <c r="I7" s="2">
        <v>50</v>
      </c>
      <c r="J7" s="2">
        <v>50</v>
      </c>
      <c r="K7" s="2">
        <f t="shared" si="0"/>
        <v>0</v>
      </c>
      <c r="L7" s="2">
        <f t="shared" ca="1" si="1"/>
        <v>47</v>
      </c>
      <c r="M7" s="2" t="s">
        <v>1083</v>
      </c>
      <c r="N7" t="s">
        <v>89</v>
      </c>
      <c r="O7" s="3">
        <v>46247</v>
      </c>
      <c r="P7" s="3">
        <v>46247</v>
      </c>
      <c r="Q7" s="3">
        <v>46247</v>
      </c>
      <c r="R7" s="3">
        <v>46247</v>
      </c>
      <c r="S7" t="s">
        <v>123</v>
      </c>
      <c r="T7" t="s">
        <v>124</v>
      </c>
      <c r="U7" s="3">
        <v>46273</v>
      </c>
      <c r="V7" s="4">
        <v>0.48020833333333002</v>
      </c>
      <c r="W7" s="3">
        <v>46272</v>
      </c>
      <c r="X7" t="s">
        <v>2</v>
      </c>
      <c r="Y7" t="s">
        <v>0</v>
      </c>
      <c r="Z7" s="3"/>
      <c r="AA7" s="4">
        <v>0</v>
      </c>
      <c r="AB7" s="3">
        <v>46273</v>
      </c>
      <c r="AC7" s="3">
        <v>46247</v>
      </c>
      <c r="AD7" t="s">
        <v>0</v>
      </c>
    </row>
    <row r="8" spans="1:30" hidden="1" x14ac:dyDescent="0.2">
      <c r="A8" t="s">
        <v>1</v>
      </c>
      <c r="B8" t="s">
        <v>3</v>
      </c>
      <c r="C8" t="s">
        <v>4</v>
      </c>
      <c r="D8" t="s">
        <v>125</v>
      </c>
      <c r="E8" t="s">
        <v>126</v>
      </c>
      <c r="F8" t="s">
        <v>0</v>
      </c>
      <c r="G8" t="s">
        <v>85</v>
      </c>
      <c r="H8" t="s">
        <v>86</v>
      </c>
      <c r="I8" s="2">
        <v>50</v>
      </c>
      <c r="J8" s="2">
        <v>50</v>
      </c>
      <c r="K8" s="2">
        <f t="shared" si="0"/>
        <v>0</v>
      </c>
      <c r="L8" s="2">
        <f t="shared" ca="1" si="1"/>
        <v>47</v>
      </c>
      <c r="M8" s="2" t="s">
        <v>1083</v>
      </c>
      <c r="N8" t="s">
        <v>89</v>
      </c>
      <c r="O8" s="3">
        <v>46247</v>
      </c>
      <c r="P8" s="3">
        <v>46247</v>
      </c>
      <c r="Q8" s="3">
        <v>46247</v>
      </c>
      <c r="R8" s="3">
        <v>46247</v>
      </c>
      <c r="S8" t="s">
        <v>127</v>
      </c>
      <c r="T8" t="s">
        <v>128</v>
      </c>
      <c r="U8" s="3">
        <v>46289</v>
      </c>
      <c r="V8" s="4">
        <v>0.27497685185185</v>
      </c>
      <c r="W8" s="3">
        <v>46288</v>
      </c>
      <c r="X8" t="s">
        <v>2</v>
      </c>
      <c r="Y8" t="s">
        <v>0</v>
      </c>
      <c r="Z8" s="3"/>
      <c r="AA8" s="4">
        <v>0</v>
      </c>
      <c r="AB8" s="3">
        <v>46289</v>
      </c>
      <c r="AC8" s="3">
        <v>46247</v>
      </c>
      <c r="AD8" t="s">
        <v>0</v>
      </c>
    </row>
    <row r="9" spans="1:30" hidden="1" x14ac:dyDescent="0.2">
      <c r="A9" t="s">
        <v>1</v>
      </c>
      <c r="B9" t="s">
        <v>5</v>
      </c>
      <c r="C9" t="s">
        <v>4</v>
      </c>
      <c r="D9" t="s">
        <v>129</v>
      </c>
      <c r="E9" t="s">
        <v>130</v>
      </c>
      <c r="F9" t="s">
        <v>0</v>
      </c>
      <c r="G9" t="s">
        <v>77</v>
      </c>
      <c r="H9" t="s">
        <v>78</v>
      </c>
      <c r="I9" s="2">
        <v>50</v>
      </c>
      <c r="J9" s="2">
        <v>50</v>
      </c>
      <c r="K9" s="2">
        <f t="shared" si="0"/>
        <v>0</v>
      </c>
      <c r="L9" s="2">
        <f t="shared" ca="1" si="1"/>
        <v>47</v>
      </c>
      <c r="M9" s="2" t="s">
        <v>1083</v>
      </c>
      <c r="N9" t="s">
        <v>89</v>
      </c>
      <c r="O9" s="3">
        <v>46247</v>
      </c>
      <c r="P9" s="3">
        <v>46247</v>
      </c>
      <c r="Q9" s="3">
        <v>46247</v>
      </c>
      <c r="R9" s="3">
        <v>46247</v>
      </c>
      <c r="S9" t="s">
        <v>131</v>
      </c>
      <c r="T9" t="s">
        <v>132</v>
      </c>
      <c r="U9" s="3">
        <v>46293</v>
      </c>
      <c r="V9" s="4">
        <v>0.38636574074073998</v>
      </c>
      <c r="W9" s="3">
        <v>46247</v>
      </c>
      <c r="X9" t="s">
        <v>67</v>
      </c>
      <c r="Y9" t="s">
        <v>0</v>
      </c>
      <c r="Z9" s="3"/>
      <c r="AA9" s="4">
        <v>0</v>
      </c>
      <c r="AB9" s="3">
        <v>46293</v>
      </c>
      <c r="AC9" s="3">
        <v>46247</v>
      </c>
      <c r="AD9" t="s">
        <v>0</v>
      </c>
    </row>
    <row r="10" spans="1:30" hidden="1" x14ac:dyDescent="0.2">
      <c r="A10" t="s">
        <v>1</v>
      </c>
      <c r="B10" t="s">
        <v>5</v>
      </c>
      <c r="C10" t="s">
        <v>4</v>
      </c>
      <c r="D10" t="s">
        <v>133</v>
      </c>
      <c r="E10" t="s">
        <v>134</v>
      </c>
      <c r="F10" t="s">
        <v>0</v>
      </c>
      <c r="G10" t="s">
        <v>79</v>
      </c>
      <c r="H10" t="s">
        <v>80</v>
      </c>
      <c r="I10" s="2">
        <v>50</v>
      </c>
      <c r="J10" s="2">
        <v>50</v>
      </c>
      <c r="K10" s="2">
        <f t="shared" si="0"/>
        <v>0</v>
      </c>
      <c r="L10" s="2">
        <f t="shared" ca="1" si="1"/>
        <v>47</v>
      </c>
      <c r="M10" s="2" t="s">
        <v>1083</v>
      </c>
      <c r="N10" t="s">
        <v>89</v>
      </c>
      <c r="O10" s="3">
        <v>46247</v>
      </c>
      <c r="P10" s="3">
        <v>46247</v>
      </c>
      <c r="Q10" s="3">
        <v>46247</v>
      </c>
      <c r="R10" s="3">
        <v>46247</v>
      </c>
      <c r="S10" t="s">
        <v>135</v>
      </c>
      <c r="T10" t="s">
        <v>136</v>
      </c>
      <c r="U10" s="3">
        <v>46290</v>
      </c>
      <c r="V10" s="4">
        <v>0.50415509259258995</v>
      </c>
      <c r="W10" s="3">
        <v>46290</v>
      </c>
      <c r="X10" t="s">
        <v>2</v>
      </c>
      <c r="Y10" t="s">
        <v>0</v>
      </c>
      <c r="Z10" s="3"/>
      <c r="AA10" s="4">
        <v>0</v>
      </c>
      <c r="AB10" s="3">
        <v>46290</v>
      </c>
      <c r="AC10" s="3">
        <v>46247</v>
      </c>
      <c r="AD10" t="s">
        <v>0</v>
      </c>
    </row>
    <row r="11" spans="1:30" hidden="1" x14ac:dyDescent="0.2">
      <c r="A11" t="s">
        <v>1</v>
      </c>
      <c r="B11" t="s">
        <v>3</v>
      </c>
      <c r="C11" t="s">
        <v>4</v>
      </c>
      <c r="D11" t="s">
        <v>137</v>
      </c>
      <c r="E11" t="s">
        <v>138</v>
      </c>
      <c r="F11" t="s">
        <v>0</v>
      </c>
      <c r="G11" t="s">
        <v>75</v>
      </c>
      <c r="H11" t="s">
        <v>76</v>
      </c>
      <c r="I11" s="2">
        <v>50</v>
      </c>
      <c r="J11" s="2">
        <v>50</v>
      </c>
      <c r="K11" s="2">
        <f t="shared" si="0"/>
        <v>0</v>
      </c>
      <c r="L11" s="2">
        <f t="shared" ca="1" si="1"/>
        <v>47</v>
      </c>
      <c r="M11" s="2" t="s">
        <v>1083</v>
      </c>
      <c r="N11" t="s">
        <v>89</v>
      </c>
      <c r="O11" s="3">
        <v>46247</v>
      </c>
      <c r="P11" s="3">
        <v>46247</v>
      </c>
      <c r="Q11" s="3">
        <v>46247</v>
      </c>
      <c r="R11" s="3">
        <v>46247</v>
      </c>
      <c r="S11" t="s">
        <v>139</v>
      </c>
      <c r="T11" t="s">
        <v>140</v>
      </c>
      <c r="U11" s="3">
        <v>46290</v>
      </c>
      <c r="V11" s="4">
        <v>0.51144675925925998</v>
      </c>
      <c r="W11" s="3">
        <v>46290</v>
      </c>
      <c r="X11" t="s">
        <v>2</v>
      </c>
      <c r="Y11" t="s">
        <v>0</v>
      </c>
      <c r="Z11" s="3"/>
      <c r="AA11" s="4">
        <v>0</v>
      </c>
      <c r="AB11" s="3">
        <v>46290</v>
      </c>
      <c r="AC11" s="3">
        <v>46247</v>
      </c>
      <c r="AD11" t="s">
        <v>0</v>
      </c>
    </row>
    <row r="12" spans="1:30" hidden="1" x14ac:dyDescent="0.2">
      <c r="A12" t="s">
        <v>1</v>
      </c>
      <c r="B12" t="s">
        <v>5</v>
      </c>
      <c r="C12" t="s">
        <v>4</v>
      </c>
      <c r="D12" t="s">
        <v>141</v>
      </c>
      <c r="E12" t="s">
        <v>142</v>
      </c>
      <c r="F12" t="s">
        <v>0</v>
      </c>
      <c r="G12" t="s">
        <v>77</v>
      </c>
      <c r="H12" t="s">
        <v>78</v>
      </c>
      <c r="I12" s="2">
        <v>50</v>
      </c>
      <c r="J12" s="2">
        <v>50</v>
      </c>
      <c r="K12" s="2">
        <f t="shared" si="0"/>
        <v>0</v>
      </c>
      <c r="L12" s="2">
        <f t="shared" ca="1" si="1"/>
        <v>47</v>
      </c>
      <c r="M12" s="2" t="s">
        <v>1083</v>
      </c>
      <c r="N12" t="s">
        <v>89</v>
      </c>
      <c r="O12" s="3">
        <v>46247</v>
      </c>
      <c r="P12" s="3">
        <v>46247</v>
      </c>
      <c r="Q12" s="3">
        <v>46247</v>
      </c>
      <c r="R12" s="3">
        <v>46247</v>
      </c>
      <c r="S12" t="s">
        <v>143</v>
      </c>
      <c r="T12" t="s">
        <v>144</v>
      </c>
      <c r="U12" s="3">
        <v>46293</v>
      </c>
      <c r="V12" s="4">
        <v>0.38680555555556001</v>
      </c>
      <c r="W12" s="3">
        <v>46247</v>
      </c>
      <c r="X12" t="s">
        <v>67</v>
      </c>
      <c r="Y12" t="s">
        <v>0</v>
      </c>
      <c r="Z12" s="3"/>
      <c r="AA12" s="4">
        <v>0</v>
      </c>
      <c r="AB12" s="3">
        <v>46293</v>
      </c>
      <c r="AC12" s="3">
        <v>46247</v>
      </c>
      <c r="AD12" t="s">
        <v>0</v>
      </c>
    </row>
    <row r="13" spans="1:30" hidden="1" x14ac:dyDescent="0.2">
      <c r="A13" t="s">
        <v>1</v>
      </c>
      <c r="B13" t="s">
        <v>5</v>
      </c>
      <c r="C13" t="s">
        <v>4</v>
      </c>
      <c r="D13" t="s">
        <v>145</v>
      </c>
      <c r="E13" t="s">
        <v>146</v>
      </c>
      <c r="F13" t="s">
        <v>0</v>
      </c>
      <c r="G13" t="s">
        <v>79</v>
      </c>
      <c r="H13" t="s">
        <v>80</v>
      </c>
      <c r="I13" s="2">
        <v>50</v>
      </c>
      <c r="J13" s="2">
        <v>50</v>
      </c>
      <c r="K13" s="2">
        <f t="shared" si="0"/>
        <v>0</v>
      </c>
      <c r="L13" s="2">
        <f t="shared" ca="1" si="1"/>
        <v>47</v>
      </c>
      <c r="M13" s="2" t="s">
        <v>1083</v>
      </c>
      <c r="N13" t="s">
        <v>89</v>
      </c>
      <c r="O13" s="3">
        <v>46247</v>
      </c>
      <c r="P13" s="3">
        <v>46247</v>
      </c>
      <c r="Q13" s="3">
        <v>46247</v>
      </c>
      <c r="R13" s="3">
        <v>46247</v>
      </c>
      <c r="S13" t="s">
        <v>147</v>
      </c>
      <c r="T13" t="s">
        <v>148</v>
      </c>
      <c r="U13" s="3">
        <v>46289</v>
      </c>
      <c r="V13" s="4">
        <v>0.37909722222221998</v>
      </c>
      <c r="W13" s="3">
        <v>46289</v>
      </c>
      <c r="X13" t="s">
        <v>2</v>
      </c>
      <c r="Y13" t="s">
        <v>0</v>
      </c>
      <c r="Z13" s="3"/>
      <c r="AA13" s="4">
        <v>0</v>
      </c>
      <c r="AB13" s="3">
        <v>46289</v>
      </c>
      <c r="AC13" s="3">
        <v>46247</v>
      </c>
      <c r="AD13" t="s">
        <v>0</v>
      </c>
    </row>
    <row r="14" spans="1:30" hidden="1" x14ac:dyDescent="0.2">
      <c r="A14" t="s">
        <v>1</v>
      </c>
      <c r="B14" t="s">
        <v>3</v>
      </c>
      <c r="C14" t="s">
        <v>4</v>
      </c>
      <c r="D14" t="s">
        <v>149</v>
      </c>
      <c r="E14" t="s">
        <v>150</v>
      </c>
      <c r="F14" t="s">
        <v>0</v>
      </c>
      <c r="G14" t="s">
        <v>81</v>
      </c>
      <c r="H14" t="s">
        <v>82</v>
      </c>
      <c r="I14" s="2">
        <v>50</v>
      </c>
      <c r="J14" s="2">
        <v>50</v>
      </c>
      <c r="K14" s="2">
        <f t="shared" si="0"/>
        <v>0</v>
      </c>
      <c r="L14" s="2">
        <f t="shared" ca="1" si="1"/>
        <v>47</v>
      </c>
      <c r="M14" s="2" t="s">
        <v>1083</v>
      </c>
      <c r="N14" t="s">
        <v>89</v>
      </c>
      <c r="O14" s="3">
        <v>46247</v>
      </c>
      <c r="P14" s="3">
        <v>46247</v>
      </c>
      <c r="Q14" s="3">
        <v>46247</v>
      </c>
      <c r="R14" s="3">
        <v>46247</v>
      </c>
      <c r="S14" t="s">
        <v>151</v>
      </c>
      <c r="T14" t="s">
        <v>152</v>
      </c>
      <c r="U14" s="3">
        <v>46274</v>
      </c>
      <c r="V14" s="4">
        <v>0.25437500000000002</v>
      </c>
      <c r="W14" s="3">
        <v>46273</v>
      </c>
      <c r="X14" t="s">
        <v>2</v>
      </c>
      <c r="Y14" t="s">
        <v>0</v>
      </c>
      <c r="Z14" s="3"/>
      <c r="AA14" s="4">
        <v>0</v>
      </c>
      <c r="AB14" s="3">
        <v>46274</v>
      </c>
      <c r="AC14" s="3">
        <v>46247</v>
      </c>
      <c r="AD14" t="s">
        <v>0</v>
      </c>
    </row>
    <row r="15" spans="1:30" hidden="1" x14ac:dyDescent="0.2">
      <c r="A15" t="s">
        <v>1</v>
      </c>
      <c r="B15" t="s">
        <v>3</v>
      </c>
      <c r="C15" t="s">
        <v>4</v>
      </c>
      <c r="D15" t="s">
        <v>156</v>
      </c>
      <c r="E15" t="s">
        <v>157</v>
      </c>
      <c r="F15" t="s">
        <v>0</v>
      </c>
      <c r="G15" t="s">
        <v>158</v>
      </c>
      <c r="H15" t="s">
        <v>159</v>
      </c>
      <c r="I15" s="2">
        <v>16</v>
      </c>
      <c r="J15" s="2">
        <v>0</v>
      </c>
      <c r="K15" s="2">
        <f t="shared" si="0"/>
        <v>16</v>
      </c>
      <c r="L15" s="2">
        <f t="shared" ca="1" si="1"/>
        <v>1</v>
      </c>
      <c r="M15" s="2" t="s">
        <v>1081</v>
      </c>
      <c r="N15" t="s">
        <v>160</v>
      </c>
      <c r="O15" s="3">
        <v>46256</v>
      </c>
      <c r="P15" s="3">
        <v>46293</v>
      </c>
      <c r="Q15" s="3">
        <v>46293</v>
      </c>
      <c r="R15" s="3">
        <v>46293</v>
      </c>
      <c r="S15" t="s">
        <v>161</v>
      </c>
      <c r="T15" t="s">
        <v>162</v>
      </c>
      <c r="U15" s="3"/>
      <c r="V15" s="4">
        <v>0</v>
      </c>
      <c r="W15" s="3">
        <v>46293</v>
      </c>
      <c r="X15" t="s">
        <v>2</v>
      </c>
      <c r="Y15" t="s">
        <v>0</v>
      </c>
      <c r="Z15" s="3"/>
      <c r="AA15" s="4">
        <v>0</v>
      </c>
      <c r="AB15" s="3"/>
      <c r="AC15" s="3">
        <v>46293</v>
      </c>
      <c r="AD15" t="s">
        <v>0</v>
      </c>
    </row>
    <row r="16" spans="1:30" hidden="1" x14ac:dyDescent="0.2">
      <c r="A16" t="s">
        <v>1</v>
      </c>
      <c r="B16" t="s">
        <v>5</v>
      </c>
      <c r="C16" t="s">
        <v>4</v>
      </c>
      <c r="D16" t="s">
        <v>163</v>
      </c>
      <c r="E16" t="s">
        <v>164</v>
      </c>
      <c r="F16" t="s">
        <v>0</v>
      </c>
      <c r="G16" t="s">
        <v>165</v>
      </c>
      <c r="H16" t="s">
        <v>166</v>
      </c>
      <c r="I16" s="2">
        <v>16</v>
      </c>
      <c r="J16" s="2">
        <v>5</v>
      </c>
      <c r="K16" s="2">
        <f t="shared" si="0"/>
        <v>11</v>
      </c>
      <c r="L16" s="2">
        <f t="shared" ca="1" si="1"/>
        <v>38</v>
      </c>
      <c r="M16" s="2" t="s">
        <v>1083</v>
      </c>
      <c r="N16" t="s">
        <v>167</v>
      </c>
      <c r="O16" s="3">
        <v>46256</v>
      </c>
      <c r="P16" s="3">
        <v>46256</v>
      </c>
      <c r="Q16" s="3">
        <v>46256</v>
      </c>
      <c r="R16" s="3">
        <v>46256</v>
      </c>
      <c r="S16" t="s">
        <v>168</v>
      </c>
      <c r="T16" t="s">
        <v>169</v>
      </c>
      <c r="U16" s="3">
        <v>46290</v>
      </c>
      <c r="V16" s="4">
        <v>0.31659722222221998</v>
      </c>
      <c r="W16" s="3">
        <v>46256</v>
      </c>
      <c r="X16" t="s">
        <v>2</v>
      </c>
      <c r="Y16" t="s">
        <v>0</v>
      </c>
      <c r="Z16" s="3"/>
      <c r="AA16" s="4">
        <v>0</v>
      </c>
      <c r="AB16" s="3">
        <v>46290</v>
      </c>
      <c r="AC16" s="3">
        <v>46256</v>
      </c>
      <c r="AD16" t="s">
        <v>0</v>
      </c>
    </row>
    <row r="17" spans="1:30" hidden="1" x14ac:dyDescent="0.2">
      <c r="A17" t="s">
        <v>1</v>
      </c>
      <c r="B17" t="s">
        <v>3</v>
      </c>
      <c r="C17" t="s">
        <v>4</v>
      </c>
      <c r="D17" t="s">
        <v>171</v>
      </c>
      <c r="E17" t="s">
        <v>172</v>
      </c>
      <c r="F17" t="s">
        <v>0</v>
      </c>
      <c r="G17" t="s">
        <v>158</v>
      </c>
      <c r="H17" t="s">
        <v>159</v>
      </c>
      <c r="I17" s="2">
        <v>2</v>
      </c>
      <c r="J17" s="2">
        <v>0</v>
      </c>
      <c r="K17" s="2">
        <f t="shared" si="0"/>
        <v>2</v>
      </c>
      <c r="L17" s="2">
        <f t="shared" ca="1" si="1"/>
        <v>1</v>
      </c>
      <c r="M17" s="2" t="s">
        <v>1081</v>
      </c>
      <c r="N17" t="s">
        <v>160</v>
      </c>
      <c r="O17" s="3">
        <v>46261</v>
      </c>
      <c r="P17" s="3">
        <v>46293</v>
      </c>
      <c r="Q17" s="3">
        <v>46293</v>
      </c>
      <c r="R17" s="3">
        <v>46293</v>
      </c>
      <c r="S17" t="s">
        <v>173</v>
      </c>
      <c r="T17" t="s">
        <v>174</v>
      </c>
      <c r="U17" s="3"/>
      <c r="V17" s="4">
        <v>0</v>
      </c>
      <c r="W17" s="3">
        <v>46293</v>
      </c>
      <c r="X17" t="s">
        <v>2</v>
      </c>
      <c r="Y17" t="s">
        <v>0</v>
      </c>
      <c r="Z17" s="3"/>
      <c r="AA17" s="4">
        <v>0</v>
      </c>
      <c r="AB17" s="3"/>
      <c r="AC17" s="3">
        <v>46293</v>
      </c>
      <c r="AD17" t="s">
        <v>0</v>
      </c>
    </row>
    <row r="18" spans="1:30" hidden="1" x14ac:dyDescent="0.2">
      <c r="A18" t="s">
        <v>1</v>
      </c>
      <c r="B18" t="s">
        <v>5</v>
      </c>
      <c r="C18" t="s">
        <v>4</v>
      </c>
      <c r="D18" t="s">
        <v>175</v>
      </c>
      <c r="E18" t="s">
        <v>176</v>
      </c>
      <c r="F18" t="s">
        <v>0</v>
      </c>
      <c r="G18" t="s">
        <v>165</v>
      </c>
      <c r="H18" t="s">
        <v>166</v>
      </c>
      <c r="I18" s="2">
        <v>2</v>
      </c>
      <c r="J18" s="2">
        <v>0</v>
      </c>
      <c r="K18" s="2">
        <f t="shared" si="0"/>
        <v>2</v>
      </c>
      <c r="L18" s="2">
        <f t="shared" ca="1" si="1"/>
        <v>33</v>
      </c>
      <c r="M18" s="2" t="s">
        <v>1083</v>
      </c>
      <c r="N18" t="s">
        <v>160</v>
      </c>
      <c r="O18" s="3">
        <v>46261</v>
      </c>
      <c r="P18" s="3">
        <v>46261</v>
      </c>
      <c r="Q18" s="3">
        <v>46261</v>
      </c>
      <c r="R18" s="3">
        <v>46261</v>
      </c>
      <c r="S18" t="s">
        <v>177</v>
      </c>
      <c r="T18" t="s">
        <v>178</v>
      </c>
      <c r="U18" s="3"/>
      <c r="V18" s="4">
        <v>0</v>
      </c>
      <c r="W18" s="3">
        <v>46261</v>
      </c>
      <c r="X18" t="s">
        <v>2</v>
      </c>
      <c r="Y18" t="s">
        <v>0</v>
      </c>
      <c r="Z18" s="3"/>
      <c r="AA18" s="4">
        <v>0</v>
      </c>
      <c r="AB18" s="3"/>
      <c r="AC18" s="3">
        <v>46261</v>
      </c>
      <c r="AD18" t="s">
        <v>0</v>
      </c>
    </row>
    <row r="19" spans="1:30" hidden="1" x14ac:dyDescent="0.2">
      <c r="A19" t="s">
        <v>1</v>
      </c>
      <c r="B19" t="s">
        <v>3</v>
      </c>
      <c r="C19" t="s">
        <v>4</v>
      </c>
      <c r="D19" t="s">
        <v>179</v>
      </c>
      <c r="E19" t="s">
        <v>180</v>
      </c>
      <c r="F19" t="s">
        <v>0</v>
      </c>
      <c r="G19" t="s">
        <v>181</v>
      </c>
      <c r="H19" t="s">
        <v>182</v>
      </c>
      <c r="I19" s="2">
        <v>6</v>
      </c>
      <c r="J19" s="2">
        <v>0</v>
      </c>
      <c r="K19" s="2">
        <f t="shared" si="0"/>
        <v>6</v>
      </c>
      <c r="L19" s="2">
        <f t="shared" ca="1" si="1"/>
        <v>33</v>
      </c>
      <c r="M19" s="2" t="s">
        <v>1083</v>
      </c>
      <c r="N19" t="s">
        <v>160</v>
      </c>
      <c r="O19" s="3">
        <v>46261</v>
      </c>
      <c r="P19" s="3">
        <v>46261</v>
      </c>
      <c r="Q19" s="3">
        <v>46261</v>
      </c>
      <c r="R19" s="3">
        <v>46261</v>
      </c>
      <c r="S19" t="s">
        <v>183</v>
      </c>
      <c r="T19" t="s">
        <v>184</v>
      </c>
      <c r="U19" s="3"/>
      <c r="V19" s="4">
        <v>0</v>
      </c>
      <c r="W19" s="3">
        <v>46293</v>
      </c>
      <c r="X19" t="s">
        <v>2</v>
      </c>
      <c r="Y19" t="s">
        <v>0</v>
      </c>
      <c r="Z19" s="3"/>
      <c r="AA19" s="4">
        <v>0</v>
      </c>
      <c r="AB19" s="3"/>
      <c r="AC19" s="3">
        <v>46261</v>
      </c>
      <c r="AD19" t="s">
        <v>0</v>
      </c>
    </row>
    <row r="20" spans="1:30" hidden="1" x14ac:dyDescent="0.2">
      <c r="A20" t="s">
        <v>1</v>
      </c>
      <c r="B20" t="s">
        <v>5</v>
      </c>
      <c r="C20" t="s">
        <v>4</v>
      </c>
      <c r="D20" t="s">
        <v>185</v>
      </c>
      <c r="E20" t="s">
        <v>186</v>
      </c>
      <c r="F20" t="s">
        <v>0</v>
      </c>
      <c r="G20" t="s">
        <v>165</v>
      </c>
      <c r="H20" t="s">
        <v>166</v>
      </c>
      <c r="I20" s="2">
        <v>6</v>
      </c>
      <c r="J20" s="2">
        <v>6</v>
      </c>
      <c r="K20" s="2">
        <f t="shared" si="0"/>
        <v>0</v>
      </c>
      <c r="L20" s="2">
        <f t="shared" ca="1" si="1"/>
        <v>33</v>
      </c>
      <c r="M20" s="2" t="s">
        <v>1083</v>
      </c>
      <c r="N20" t="s">
        <v>89</v>
      </c>
      <c r="O20" s="3">
        <v>46261</v>
      </c>
      <c r="P20" s="3">
        <v>46261</v>
      </c>
      <c r="Q20" s="3">
        <v>46261</v>
      </c>
      <c r="R20" s="3">
        <v>46261</v>
      </c>
      <c r="S20" t="s">
        <v>187</v>
      </c>
      <c r="T20" t="s">
        <v>188</v>
      </c>
      <c r="U20" s="3">
        <v>46290</v>
      </c>
      <c r="V20" s="4">
        <v>0.32681712962963</v>
      </c>
      <c r="W20" s="3">
        <v>46261</v>
      </c>
      <c r="X20" t="s">
        <v>2</v>
      </c>
      <c r="Y20" t="s">
        <v>0</v>
      </c>
      <c r="Z20" s="3"/>
      <c r="AA20" s="4">
        <v>0</v>
      </c>
      <c r="AB20" s="3">
        <v>46290</v>
      </c>
      <c r="AC20" s="3">
        <v>46261</v>
      </c>
      <c r="AD20" t="s">
        <v>0</v>
      </c>
    </row>
    <row r="21" spans="1:30" hidden="1" x14ac:dyDescent="0.2">
      <c r="A21" t="s">
        <v>1</v>
      </c>
      <c r="B21" t="s">
        <v>3</v>
      </c>
      <c r="C21" t="s">
        <v>4</v>
      </c>
      <c r="D21" t="s">
        <v>189</v>
      </c>
      <c r="E21" t="s">
        <v>190</v>
      </c>
      <c r="F21" t="s">
        <v>0</v>
      </c>
      <c r="G21" t="s">
        <v>191</v>
      </c>
      <c r="H21" t="s">
        <v>192</v>
      </c>
      <c r="I21" s="2">
        <v>6</v>
      </c>
      <c r="J21" s="2">
        <v>0</v>
      </c>
      <c r="K21" s="2">
        <f t="shared" si="0"/>
        <v>6</v>
      </c>
      <c r="L21" s="2">
        <f t="shared" ca="1" si="1"/>
        <v>33</v>
      </c>
      <c r="M21" s="2" t="s">
        <v>1083</v>
      </c>
      <c r="N21" t="s">
        <v>160</v>
      </c>
      <c r="O21" s="3">
        <v>46261</v>
      </c>
      <c r="P21" s="3">
        <v>46261</v>
      </c>
      <c r="Q21" s="3">
        <v>46261</v>
      </c>
      <c r="R21" s="3">
        <v>46261</v>
      </c>
      <c r="S21" t="s">
        <v>193</v>
      </c>
      <c r="T21" t="s">
        <v>194</v>
      </c>
      <c r="U21" s="3"/>
      <c r="V21" s="4">
        <v>0</v>
      </c>
      <c r="W21" s="3">
        <v>46293</v>
      </c>
      <c r="X21" t="s">
        <v>2</v>
      </c>
      <c r="Y21" t="s">
        <v>0</v>
      </c>
      <c r="Z21" s="3"/>
      <c r="AA21" s="4">
        <v>0</v>
      </c>
      <c r="AB21" s="3"/>
      <c r="AC21" s="3">
        <v>46261</v>
      </c>
      <c r="AD21" t="s">
        <v>0</v>
      </c>
    </row>
    <row r="22" spans="1:30" hidden="1" x14ac:dyDescent="0.2">
      <c r="A22" t="s">
        <v>1</v>
      </c>
      <c r="B22" t="s">
        <v>5</v>
      </c>
      <c r="C22" t="s">
        <v>4</v>
      </c>
      <c r="D22" t="s">
        <v>195</v>
      </c>
      <c r="E22" t="s">
        <v>196</v>
      </c>
      <c r="F22" t="s">
        <v>0</v>
      </c>
      <c r="G22" t="s">
        <v>165</v>
      </c>
      <c r="H22" t="s">
        <v>166</v>
      </c>
      <c r="I22" s="2">
        <v>6</v>
      </c>
      <c r="J22" s="2">
        <v>0</v>
      </c>
      <c r="K22" s="2">
        <f t="shared" si="0"/>
        <v>6</v>
      </c>
      <c r="L22" s="2">
        <f t="shared" ca="1" si="1"/>
        <v>33</v>
      </c>
      <c r="M22" s="2" t="s">
        <v>1083</v>
      </c>
      <c r="N22" t="s">
        <v>160</v>
      </c>
      <c r="O22" s="3">
        <v>46261</v>
      </c>
      <c r="P22" s="3">
        <v>46261</v>
      </c>
      <c r="Q22" s="3">
        <v>46261</v>
      </c>
      <c r="R22" s="3">
        <v>46261</v>
      </c>
      <c r="S22" t="s">
        <v>197</v>
      </c>
      <c r="T22" t="s">
        <v>198</v>
      </c>
      <c r="U22" s="3"/>
      <c r="V22" s="4">
        <v>0</v>
      </c>
      <c r="W22" s="3">
        <v>46261</v>
      </c>
      <c r="X22" t="s">
        <v>2</v>
      </c>
      <c r="Y22" t="s">
        <v>0</v>
      </c>
      <c r="Z22" s="3"/>
      <c r="AA22" s="4">
        <v>0</v>
      </c>
      <c r="AB22" s="3"/>
      <c r="AC22" s="3">
        <v>46261</v>
      </c>
      <c r="AD22" t="s">
        <v>0</v>
      </c>
    </row>
    <row r="23" spans="1:30" hidden="1" x14ac:dyDescent="0.2">
      <c r="A23" t="s">
        <v>1</v>
      </c>
      <c r="B23" t="s">
        <v>3</v>
      </c>
      <c r="C23" t="s">
        <v>4</v>
      </c>
      <c r="D23" t="s">
        <v>199</v>
      </c>
      <c r="E23" t="s">
        <v>200</v>
      </c>
      <c r="F23" t="s">
        <v>0</v>
      </c>
      <c r="G23" t="s">
        <v>201</v>
      </c>
      <c r="H23" t="s">
        <v>202</v>
      </c>
      <c r="I23" s="2">
        <v>14</v>
      </c>
      <c r="J23" s="2">
        <v>0</v>
      </c>
      <c r="K23" s="2">
        <f t="shared" si="0"/>
        <v>14</v>
      </c>
      <c r="L23" s="2">
        <f t="shared" ca="1" si="1"/>
        <v>29</v>
      </c>
      <c r="M23" s="2" t="s">
        <v>1083</v>
      </c>
      <c r="N23" t="s">
        <v>160</v>
      </c>
      <c r="O23" s="3">
        <v>46265</v>
      </c>
      <c r="P23" s="3">
        <v>46265</v>
      </c>
      <c r="Q23" s="3">
        <v>46265</v>
      </c>
      <c r="R23" s="3">
        <v>46265</v>
      </c>
      <c r="S23" t="s">
        <v>203</v>
      </c>
      <c r="T23" t="s">
        <v>204</v>
      </c>
      <c r="U23" s="3"/>
      <c r="V23" s="4">
        <v>0</v>
      </c>
      <c r="W23" s="3">
        <v>46293</v>
      </c>
      <c r="X23" t="s">
        <v>2</v>
      </c>
      <c r="Y23" t="s">
        <v>0</v>
      </c>
      <c r="Z23" s="3"/>
      <c r="AA23" s="4">
        <v>0</v>
      </c>
      <c r="AB23" s="3"/>
      <c r="AC23" s="3">
        <v>46265</v>
      </c>
      <c r="AD23" t="s">
        <v>0</v>
      </c>
    </row>
    <row r="24" spans="1:30" hidden="1" x14ac:dyDescent="0.2">
      <c r="A24" t="s">
        <v>1</v>
      </c>
      <c r="B24" t="s">
        <v>5</v>
      </c>
      <c r="C24" t="s">
        <v>4</v>
      </c>
      <c r="D24" t="s">
        <v>205</v>
      </c>
      <c r="E24" t="s">
        <v>206</v>
      </c>
      <c r="F24" t="s">
        <v>0</v>
      </c>
      <c r="G24" t="s">
        <v>165</v>
      </c>
      <c r="H24" t="s">
        <v>166</v>
      </c>
      <c r="I24" s="2">
        <v>14</v>
      </c>
      <c r="J24" s="2">
        <v>0</v>
      </c>
      <c r="K24" s="2">
        <f t="shared" si="0"/>
        <v>14</v>
      </c>
      <c r="L24" s="2">
        <f t="shared" ca="1" si="1"/>
        <v>29</v>
      </c>
      <c r="M24" s="2" t="s">
        <v>1083</v>
      </c>
      <c r="N24" t="s">
        <v>160</v>
      </c>
      <c r="O24" s="3">
        <v>46265</v>
      </c>
      <c r="P24" s="3">
        <v>46265</v>
      </c>
      <c r="Q24" s="3">
        <v>46265</v>
      </c>
      <c r="R24" s="3">
        <v>46265</v>
      </c>
      <c r="S24" t="s">
        <v>207</v>
      </c>
      <c r="T24" t="s">
        <v>208</v>
      </c>
      <c r="U24" s="3"/>
      <c r="V24" s="4">
        <v>0</v>
      </c>
      <c r="W24" s="3">
        <v>46265</v>
      </c>
      <c r="X24" t="s">
        <v>2</v>
      </c>
      <c r="Y24" t="s">
        <v>0</v>
      </c>
      <c r="Z24" s="3"/>
      <c r="AA24" s="4">
        <v>0</v>
      </c>
      <c r="AB24" s="3"/>
      <c r="AC24" s="3">
        <v>46265</v>
      </c>
      <c r="AD24" t="s">
        <v>0</v>
      </c>
    </row>
    <row r="25" spans="1:30" hidden="1" x14ac:dyDescent="0.2">
      <c r="A25" t="s">
        <v>1</v>
      </c>
      <c r="B25" t="s">
        <v>3</v>
      </c>
      <c r="C25" t="s">
        <v>4</v>
      </c>
      <c r="D25" t="s">
        <v>209</v>
      </c>
      <c r="E25" t="s">
        <v>210</v>
      </c>
      <c r="F25" t="s">
        <v>0</v>
      </c>
      <c r="G25" t="s">
        <v>70</v>
      </c>
      <c r="H25" t="s">
        <v>71</v>
      </c>
      <c r="I25" s="2">
        <v>500</v>
      </c>
      <c r="J25" s="2">
        <v>422</v>
      </c>
      <c r="K25" s="2">
        <f t="shared" si="0"/>
        <v>78</v>
      </c>
      <c r="L25" s="2">
        <f t="shared" ca="1" si="1"/>
        <v>27</v>
      </c>
      <c r="M25" s="2" t="s">
        <v>1083</v>
      </c>
      <c r="N25" t="s">
        <v>167</v>
      </c>
      <c r="O25" s="3">
        <v>46267</v>
      </c>
      <c r="P25" s="3">
        <v>46267</v>
      </c>
      <c r="Q25" s="3">
        <v>46267</v>
      </c>
      <c r="R25" s="3">
        <v>46267</v>
      </c>
      <c r="S25" t="s">
        <v>211</v>
      </c>
      <c r="T25" t="s">
        <v>212</v>
      </c>
      <c r="U25" s="3">
        <v>46283</v>
      </c>
      <c r="V25" s="4">
        <v>0.59454861111111001</v>
      </c>
      <c r="W25" s="3">
        <v>46283</v>
      </c>
      <c r="X25" t="s">
        <v>2</v>
      </c>
      <c r="Y25" t="s">
        <v>0</v>
      </c>
      <c r="Z25" s="3"/>
      <c r="AA25" s="4">
        <v>0</v>
      </c>
      <c r="AB25" s="3">
        <v>46283</v>
      </c>
      <c r="AC25" s="3">
        <v>46267</v>
      </c>
      <c r="AD25" t="s">
        <v>0</v>
      </c>
    </row>
    <row r="26" spans="1:30" hidden="1" x14ac:dyDescent="0.2">
      <c r="A26" t="s">
        <v>1</v>
      </c>
      <c r="B26" t="s">
        <v>3</v>
      </c>
      <c r="C26" t="s">
        <v>4</v>
      </c>
      <c r="D26" t="s">
        <v>213</v>
      </c>
      <c r="E26" t="s">
        <v>214</v>
      </c>
      <c r="F26" t="s">
        <v>0</v>
      </c>
      <c r="G26" t="s">
        <v>158</v>
      </c>
      <c r="H26" t="s">
        <v>159</v>
      </c>
      <c r="I26" s="2">
        <v>50</v>
      </c>
      <c r="J26" s="2">
        <v>0</v>
      </c>
      <c r="K26" s="2">
        <f t="shared" si="0"/>
        <v>50</v>
      </c>
      <c r="L26" s="2">
        <f t="shared" ca="1" si="1"/>
        <v>1</v>
      </c>
      <c r="M26" s="2" t="s">
        <v>1081</v>
      </c>
      <c r="N26" t="s">
        <v>160</v>
      </c>
      <c r="O26" s="3">
        <v>46268</v>
      </c>
      <c r="P26" s="3">
        <v>46293</v>
      </c>
      <c r="Q26" s="3">
        <v>46293</v>
      </c>
      <c r="R26" s="3">
        <v>46293</v>
      </c>
      <c r="S26" t="s">
        <v>215</v>
      </c>
      <c r="T26" t="s">
        <v>216</v>
      </c>
      <c r="U26" s="3"/>
      <c r="V26" s="4">
        <v>0</v>
      </c>
      <c r="W26" s="3">
        <v>46293</v>
      </c>
      <c r="X26" t="s">
        <v>2</v>
      </c>
      <c r="Y26" t="s">
        <v>0</v>
      </c>
      <c r="Z26" s="3"/>
      <c r="AA26" s="4">
        <v>0</v>
      </c>
      <c r="AB26" s="3"/>
      <c r="AC26" s="3">
        <v>46293</v>
      </c>
      <c r="AD26" t="s">
        <v>0</v>
      </c>
    </row>
    <row r="27" spans="1:30" hidden="1" x14ac:dyDescent="0.2">
      <c r="A27" t="s">
        <v>1</v>
      </c>
      <c r="B27" t="s">
        <v>5</v>
      </c>
      <c r="C27" t="s">
        <v>4</v>
      </c>
      <c r="D27" t="s">
        <v>217</v>
      </c>
      <c r="E27" t="s">
        <v>218</v>
      </c>
      <c r="F27" t="s">
        <v>0</v>
      </c>
      <c r="G27" t="s">
        <v>165</v>
      </c>
      <c r="H27" t="s">
        <v>166</v>
      </c>
      <c r="I27" s="2">
        <v>50</v>
      </c>
      <c r="J27" s="2">
        <v>0</v>
      </c>
      <c r="K27" s="2">
        <f t="shared" si="0"/>
        <v>50</v>
      </c>
      <c r="L27" s="2">
        <f t="shared" ca="1" si="1"/>
        <v>26</v>
      </c>
      <c r="M27" s="2" t="s">
        <v>1083</v>
      </c>
      <c r="N27" t="s">
        <v>160</v>
      </c>
      <c r="O27" s="3">
        <v>46268</v>
      </c>
      <c r="P27" s="3">
        <v>46268</v>
      </c>
      <c r="Q27" s="3">
        <v>46268</v>
      </c>
      <c r="R27" s="3">
        <v>46268</v>
      </c>
      <c r="S27" t="s">
        <v>219</v>
      </c>
      <c r="T27" t="s">
        <v>220</v>
      </c>
      <c r="U27" s="3"/>
      <c r="V27" s="4">
        <v>0</v>
      </c>
      <c r="W27" s="3">
        <v>46268</v>
      </c>
      <c r="X27" t="s">
        <v>2</v>
      </c>
      <c r="Y27" t="s">
        <v>0</v>
      </c>
      <c r="Z27" s="3"/>
      <c r="AA27" s="4">
        <v>0</v>
      </c>
      <c r="AB27" s="3"/>
      <c r="AC27" s="3">
        <v>46268</v>
      </c>
      <c r="AD27" t="s">
        <v>0</v>
      </c>
    </row>
    <row r="28" spans="1:30" hidden="1" x14ac:dyDescent="0.2">
      <c r="A28" t="s">
        <v>1</v>
      </c>
      <c r="B28" t="s">
        <v>3</v>
      </c>
      <c r="C28" t="s">
        <v>4</v>
      </c>
      <c r="D28" t="s">
        <v>221</v>
      </c>
      <c r="E28" t="s">
        <v>222</v>
      </c>
      <c r="F28" t="s">
        <v>0</v>
      </c>
      <c r="G28" t="s">
        <v>201</v>
      </c>
      <c r="H28" t="s">
        <v>202</v>
      </c>
      <c r="I28" s="2">
        <v>50</v>
      </c>
      <c r="J28" s="2">
        <v>0</v>
      </c>
      <c r="K28" s="2">
        <f t="shared" si="0"/>
        <v>50</v>
      </c>
      <c r="L28" s="2">
        <f t="shared" ca="1" si="1"/>
        <v>26</v>
      </c>
      <c r="M28" s="2" t="s">
        <v>1083</v>
      </c>
      <c r="N28" t="s">
        <v>160</v>
      </c>
      <c r="O28" s="3">
        <v>46268</v>
      </c>
      <c r="P28" s="3">
        <v>46268</v>
      </c>
      <c r="Q28" s="3">
        <v>46268</v>
      </c>
      <c r="R28" s="3">
        <v>46268</v>
      </c>
      <c r="S28" t="s">
        <v>223</v>
      </c>
      <c r="T28" t="s">
        <v>224</v>
      </c>
      <c r="U28" s="3"/>
      <c r="V28" s="4">
        <v>0</v>
      </c>
      <c r="W28" s="3">
        <v>46293</v>
      </c>
      <c r="X28" t="s">
        <v>2</v>
      </c>
      <c r="Y28" t="s">
        <v>0</v>
      </c>
      <c r="Z28" s="3"/>
      <c r="AA28" s="4">
        <v>0</v>
      </c>
      <c r="AB28" s="3"/>
      <c r="AC28" s="3">
        <v>46268</v>
      </c>
      <c r="AD28" t="s">
        <v>0</v>
      </c>
    </row>
    <row r="29" spans="1:30" hidden="1" x14ac:dyDescent="0.2">
      <c r="A29" t="s">
        <v>1</v>
      </c>
      <c r="B29" t="s">
        <v>5</v>
      </c>
      <c r="C29" t="s">
        <v>4</v>
      </c>
      <c r="D29" t="s">
        <v>225</v>
      </c>
      <c r="E29" t="s">
        <v>226</v>
      </c>
      <c r="F29" t="s">
        <v>0</v>
      </c>
      <c r="G29" t="s">
        <v>165</v>
      </c>
      <c r="H29" t="s">
        <v>166</v>
      </c>
      <c r="I29" s="2">
        <v>50</v>
      </c>
      <c r="J29" s="2">
        <v>0</v>
      </c>
      <c r="K29" s="2">
        <f t="shared" si="0"/>
        <v>50</v>
      </c>
      <c r="L29" s="2">
        <f t="shared" ca="1" si="1"/>
        <v>26</v>
      </c>
      <c r="M29" s="2" t="s">
        <v>1083</v>
      </c>
      <c r="N29" t="s">
        <v>160</v>
      </c>
      <c r="O29" s="3">
        <v>46268</v>
      </c>
      <c r="P29" s="3">
        <v>46268</v>
      </c>
      <c r="Q29" s="3">
        <v>46268</v>
      </c>
      <c r="R29" s="3">
        <v>46268</v>
      </c>
      <c r="S29" t="s">
        <v>227</v>
      </c>
      <c r="T29" t="s">
        <v>228</v>
      </c>
      <c r="U29" s="3"/>
      <c r="V29" s="4">
        <v>0</v>
      </c>
      <c r="W29" s="3">
        <v>46268</v>
      </c>
      <c r="X29" t="s">
        <v>2</v>
      </c>
      <c r="Y29" t="s">
        <v>0</v>
      </c>
      <c r="Z29" s="3"/>
      <c r="AA29" s="4">
        <v>0</v>
      </c>
      <c r="AB29" s="3"/>
      <c r="AC29" s="3">
        <v>46268</v>
      </c>
      <c r="AD29" t="s">
        <v>0</v>
      </c>
    </row>
    <row r="30" spans="1:30" hidden="1" x14ac:dyDescent="0.2">
      <c r="A30" t="s">
        <v>1</v>
      </c>
      <c r="B30" t="s">
        <v>3</v>
      </c>
      <c r="C30" t="s">
        <v>4</v>
      </c>
      <c r="D30" t="s">
        <v>230</v>
      </c>
      <c r="E30" t="s">
        <v>231</v>
      </c>
      <c r="F30" t="s">
        <v>0</v>
      </c>
      <c r="G30" t="s">
        <v>158</v>
      </c>
      <c r="H30" t="s">
        <v>159</v>
      </c>
      <c r="I30" s="2">
        <v>50</v>
      </c>
      <c r="J30" s="2">
        <v>0</v>
      </c>
      <c r="K30" s="2">
        <f t="shared" si="0"/>
        <v>50</v>
      </c>
      <c r="L30" s="2">
        <f t="shared" ca="1" si="1"/>
        <v>1</v>
      </c>
      <c r="M30" s="2" t="s">
        <v>1081</v>
      </c>
      <c r="N30" t="s">
        <v>160</v>
      </c>
      <c r="O30" s="3">
        <v>46269</v>
      </c>
      <c r="P30" s="3">
        <v>46293</v>
      </c>
      <c r="Q30" s="3">
        <v>46293</v>
      </c>
      <c r="R30" s="3">
        <v>46293</v>
      </c>
      <c r="S30" t="s">
        <v>232</v>
      </c>
      <c r="T30" t="s">
        <v>233</v>
      </c>
      <c r="U30" s="3"/>
      <c r="V30" s="4">
        <v>0</v>
      </c>
      <c r="W30" s="3">
        <v>46293</v>
      </c>
      <c r="X30" t="s">
        <v>2</v>
      </c>
      <c r="Y30" t="s">
        <v>0</v>
      </c>
      <c r="Z30" s="3"/>
      <c r="AA30" s="4">
        <v>0</v>
      </c>
      <c r="AB30" s="3"/>
      <c r="AC30" s="3">
        <v>46293</v>
      </c>
      <c r="AD30" t="s">
        <v>0</v>
      </c>
    </row>
    <row r="31" spans="1:30" hidden="1" x14ac:dyDescent="0.2">
      <c r="A31" t="s">
        <v>1</v>
      </c>
      <c r="B31" t="s">
        <v>5</v>
      </c>
      <c r="C31" t="s">
        <v>4</v>
      </c>
      <c r="D31" t="s">
        <v>234</v>
      </c>
      <c r="E31" t="s">
        <v>235</v>
      </c>
      <c r="F31" t="s">
        <v>0</v>
      </c>
      <c r="G31" t="s">
        <v>165</v>
      </c>
      <c r="H31" t="s">
        <v>166</v>
      </c>
      <c r="I31" s="2">
        <v>50</v>
      </c>
      <c r="J31" s="2">
        <v>0</v>
      </c>
      <c r="K31" s="2">
        <f t="shared" si="0"/>
        <v>50</v>
      </c>
      <c r="L31" s="2">
        <f t="shared" ca="1" si="1"/>
        <v>25</v>
      </c>
      <c r="M31" s="2" t="s">
        <v>1083</v>
      </c>
      <c r="N31" t="s">
        <v>160</v>
      </c>
      <c r="O31" s="3">
        <v>46269</v>
      </c>
      <c r="P31" s="3">
        <v>46269</v>
      </c>
      <c r="Q31" s="3">
        <v>46269</v>
      </c>
      <c r="R31" s="3">
        <v>46269</v>
      </c>
      <c r="S31" t="s">
        <v>236</v>
      </c>
      <c r="T31" t="s">
        <v>237</v>
      </c>
      <c r="U31" s="3"/>
      <c r="V31" s="4">
        <v>0</v>
      </c>
      <c r="W31" s="3">
        <v>46269</v>
      </c>
      <c r="X31" t="s">
        <v>2</v>
      </c>
      <c r="Y31" t="s">
        <v>0</v>
      </c>
      <c r="Z31" s="3"/>
      <c r="AA31" s="4">
        <v>0</v>
      </c>
      <c r="AB31" s="3"/>
      <c r="AC31" s="3">
        <v>46269</v>
      </c>
      <c r="AD31" t="s">
        <v>0</v>
      </c>
    </row>
    <row r="32" spans="1:30" hidden="1" x14ac:dyDescent="0.2">
      <c r="A32" t="s">
        <v>1</v>
      </c>
      <c r="B32" t="s">
        <v>3</v>
      </c>
      <c r="C32" t="s">
        <v>4</v>
      </c>
      <c r="D32" t="s">
        <v>238</v>
      </c>
      <c r="E32" t="s">
        <v>239</v>
      </c>
      <c r="F32" t="s">
        <v>0</v>
      </c>
      <c r="G32" t="s">
        <v>181</v>
      </c>
      <c r="H32" t="s">
        <v>182</v>
      </c>
      <c r="I32" s="2">
        <v>50</v>
      </c>
      <c r="J32" s="2">
        <v>0</v>
      </c>
      <c r="K32" s="2">
        <f t="shared" si="0"/>
        <v>50</v>
      </c>
      <c r="L32" s="2">
        <f t="shared" ca="1" si="1"/>
        <v>25</v>
      </c>
      <c r="M32" s="2" t="s">
        <v>1083</v>
      </c>
      <c r="N32" t="s">
        <v>160</v>
      </c>
      <c r="O32" s="3">
        <v>46269</v>
      </c>
      <c r="P32" s="3">
        <v>46269</v>
      </c>
      <c r="Q32" s="3">
        <v>46269</v>
      </c>
      <c r="R32" s="3">
        <v>46269</v>
      </c>
      <c r="S32" t="s">
        <v>240</v>
      </c>
      <c r="T32" t="s">
        <v>241</v>
      </c>
      <c r="U32" s="3"/>
      <c r="V32" s="4">
        <v>0</v>
      </c>
      <c r="W32" s="3">
        <v>46293</v>
      </c>
      <c r="X32" t="s">
        <v>2</v>
      </c>
      <c r="Y32" t="s">
        <v>0</v>
      </c>
      <c r="Z32" s="3"/>
      <c r="AA32" s="4">
        <v>0</v>
      </c>
      <c r="AB32" s="3"/>
      <c r="AC32" s="3">
        <v>46269</v>
      </c>
      <c r="AD32" t="s">
        <v>0</v>
      </c>
    </row>
    <row r="33" spans="1:30" hidden="1" x14ac:dyDescent="0.2">
      <c r="A33" t="s">
        <v>1</v>
      </c>
      <c r="B33" t="s">
        <v>5</v>
      </c>
      <c r="C33" t="s">
        <v>4</v>
      </c>
      <c r="D33" t="s">
        <v>242</v>
      </c>
      <c r="E33" t="s">
        <v>243</v>
      </c>
      <c r="F33" t="s">
        <v>0</v>
      </c>
      <c r="G33" t="s">
        <v>165</v>
      </c>
      <c r="H33" t="s">
        <v>166</v>
      </c>
      <c r="I33" s="2">
        <v>50</v>
      </c>
      <c r="J33" s="2">
        <v>0</v>
      </c>
      <c r="K33" s="2">
        <f t="shared" si="0"/>
        <v>50</v>
      </c>
      <c r="L33" s="2">
        <f t="shared" ca="1" si="1"/>
        <v>25</v>
      </c>
      <c r="M33" s="2" t="s">
        <v>1083</v>
      </c>
      <c r="N33" t="s">
        <v>160</v>
      </c>
      <c r="O33" s="3">
        <v>46269</v>
      </c>
      <c r="P33" s="3">
        <v>46269</v>
      </c>
      <c r="Q33" s="3">
        <v>46269</v>
      </c>
      <c r="R33" s="3">
        <v>46269</v>
      </c>
      <c r="S33" t="s">
        <v>244</v>
      </c>
      <c r="T33" t="s">
        <v>245</v>
      </c>
      <c r="U33" s="3"/>
      <c r="V33" s="4">
        <v>0</v>
      </c>
      <c r="W33" s="3">
        <v>46269</v>
      </c>
      <c r="X33" t="s">
        <v>2</v>
      </c>
      <c r="Y33" t="s">
        <v>0</v>
      </c>
      <c r="Z33" s="3"/>
      <c r="AA33" s="4">
        <v>0</v>
      </c>
      <c r="AB33" s="3"/>
      <c r="AC33" s="3">
        <v>46269</v>
      </c>
      <c r="AD33" t="s">
        <v>0</v>
      </c>
    </row>
    <row r="34" spans="1:30" hidden="1" x14ac:dyDescent="0.2">
      <c r="A34" t="s">
        <v>1</v>
      </c>
      <c r="B34" t="s">
        <v>3</v>
      </c>
      <c r="C34" t="s">
        <v>4</v>
      </c>
      <c r="D34" t="s">
        <v>246</v>
      </c>
      <c r="E34" t="s">
        <v>247</v>
      </c>
      <c r="F34" t="s">
        <v>0</v>
      </c>
      <c r="G34" t="s">
        <v>181</v>
      </c>
      <c r="H34" t="s">
        <v>182</v>
      </c>
      <c r="I34" s="2">
        <v>50</v>
      </c>
      <c r="J34" s="2">
        <v>0</v>
      </c>
      <c r="K34" s="2">
        <f t="shared" si="0"/>
        <v>50</v>
      </c>
      <c r="L34" s="2">
        <f t="shared" ca="1" si="1"/>
        <v>25</v>
      </c>
      <c r="M34" s="2" t="s">
        <v>1083</v>
      </c>
      <c r="N34" t="s">
        <v>160</v>
      </c>
      <c r="O34" s="3">
        <v>46269</v>
      </c>
      <c r="P34" s="3">
        <v>46269</v>
      </c>
      <c r="Q34" s="3">
        <v>46269</v>
      </c>
      <c r="R34" s="3">
        <v>46269</v>
      </c>
      <c r="S34" t="s">
        <v>248</v>
      </c>
      <c r="T34" t="s">
        <v>249</v>
      </c>
      <c r="U34" s="3"/>
      <c r="V34" s="4">
        <v>0</v>
      </c>
      <c r="W34" s="3">
        <v>46293</v>
      </c>
      <c r="X34" t="s">
        <v>2</v>
      </c>
      <c r="Y34" t="s">
        <v>0</v>
      </c>
      <c r="Z34" s="3"/>
      <c r="AA34" s="4">
        <v>0</v>
      </c>
      <c r="AB34" s="3"/>
      <c r="AC34" s="3">
        <v>46269</v>
      </c>
      <c r="AD34" t="s">
        <v>0</v>
      </c>
    </row>
    <row r="35" spans="1:30" hidden="1" x14ac:dyDescent="0.2">
      <c r="A35" t="s">
        <v>1</v>
      </c>
      <c r="B35" t="s">
        <v>5</v>
      </c>
      <c r="C35" t="s">
        <v>4</v>
      </c>
      <c r="D35" t="s">
        <v>250</v>
      </c>
      <c r="E35" t="s">
        <v>251</v>
      </c>
      <c r="F35" t="s">
        <v>0</v>
      </c>
      <c r="G35" t="s">
        <v>165</v>
      </c>
      <c r="H35" t="s">
        <v>166</v>
      </c>
      <c r="I35" s="2">
        <v>50</v>
      </c>
      <c r="J35" s="2">
        <v>0</v>
      </c>
      <c r="K35" s="2">
        <f t="shared" si="0"/>
        <v>50</v>
      </c>
      <c r="L35" s="2">
        <f t="shared" ca="1" si="1"/>
        <v>25</v>
      </c>
      <c r="M35" s="2" t="s">
        <v>1083</v>
      </c>
      <c r="N35" t="s">
        <v>160</v>
      </c>
      <c r="O35" s="3">
        <v>46269</v>
      </c>
      <c r="P35" s="3">
        <v>46269</v>
      </c>
      <c r="Q35" s="3">
        <v>46269</v>
      </c>
      <c r="R35" s="3">
        <v>46269</v>
      </c>
      <c r="S35" t="s">
        <v>252</v>
      </c>
      <c r="T35" t="s">
        <v>253</v>
      </c>
      <c r="U35" s="3"/>
      <c r="V35" s="4">
        <v>0</v>
      </c>
      <c r="W35" s="3">
        <v>46269</v>
      </c>
      <c r="X35" t="s">
        <v>2</v>
      </c>
      <c r="Y35" t="s">
        <v>0</v>
      </c>
      <c r="Z35" s="3"/>
      <c r="AA35" s="4">
        <v>0</v>
      </c>
      <c r="AB35" s="3"/>
      <c r="AC35" s="3">
        <v>46269</v>
      </c>
      <c r="AD35" t="s">
        <v>0</v>
      </c>
    </row>
    <row r="36" spans="1:30" hidden="1" x14ac:dyDescent="0.2">
      <c r="A36" t="s">
        <v>1</v>
      </c>
      <c r="B36" t="s">
        <v>3</v>
      </c>
      <c r="C36" t="s">
        <v>4</v>
      </c>
      <c r="D36" t="s">
        <v>254</v>
      </c>
      <c r="E36" t="s">
        <v>255</v>
      </c>
      <c r="F36" t="s">
        <v>0</v>
      </c>
      <c r="G36" t="s">
        <v>191</v>
      </c>
      <c r="H36" t="s">
        <v>192</v>
      </c>
      <c r="I36" s="2">
        <v>50</v>
      </c>
      <c r="J36" s="2">
        <v>0</v>
      </c>
      <c r="K36" s="2">
        <f t="shared" si="0"/>
        <v>50</v>
      </c>
      <c r="L36" s="2">
        <f t="shared" ca="1" si="1"/>
        <v>25</v>
      </c>
      <c r="M36" s="2" t="s">
        <v>1083</v>
      </c>
      <c r="N36" t="s">
        <v>160</v>
      </c>
      <c r="O36" s="3">
        <v>46269</v>
      </c>
      <c r="P36" s="3">
        <v>46269</v>
      </c>
      <c r="Q36" s="3">
        <v>46269</v>
      </c>
      <c r="R36" s="3">
        <v>46269</v>
      </c>
      <c r="S36" t="s">
        <v>256</v>
      </c>
      <c r="T36" t="s">
        <v>257</v>
      </c>
      <c r="U36" s="3"/>
      <c r="V36" s="4">
        <v>0</v>
      </c>
      <c r="W36" s="3">
        <v>46269</v>
      </c>
      <c r="X36" t="s">
        <v>2</v>
      </c>
      <c r="Y36" t="s">
        <v>0</v>
      </c>
      <c r="Z36" s="3"/>
      <c r="AA36" s="4">
        <v>0</v>
      </c>
      <c r="AB36" s="3"/>
      <c r="AC36" s="3">
        <v>46269</v>
      </c>
      <c r="AD36" t="s">
        <v>0</v>
      </c>
    </row>
    <row r="37" spans="1:30" hidden="1" x14ac:dyDescent="0.2">
      <c r="A37" t="s">
        <v>1</v>
      </c>
      <c r="B37" t="s">
        <v>5</v>
      </c>
      <c r="C37" t="s">
        <v>4</v>
      </c>
      <c r="D37" t="s">
        <v>258</v>
      </c>
      <c r="E37" t="s">
        <v>259</v>
      </c>
      <c r="F37" t="s">
        <v>0</v>
      </c>
      <c r="G37" t="s">
        <v>165</v>
      </c>
      <c r="H37" t="s">
        <v>166</v>
      </c>
      <c r="I37" s="2">
        <v>50</v>
      </c>
      <c r="J37" s="2">
        <v>0</v>
      </c>
      <c r="K37" s="2">
        <f t="shared" si="0"/>
        <v>50</v>
      </c>
      <c r="L37" s="2">
        <f t="shared" ca="1" si="1"/>
        <v>25</v>
      </c>
      <c r="M37" s="2" t="s">
        <v>1083</v>
      </c>
      <c r="N37" t="s">
        <v>160</v>
      </c>
      <c r="O37" s="3">
        <v>46269</v>
      </c>
      <c r="P37" s="3">
        <v>46269</v>
      </c>
      <c r="Q37" s="3">
        <v>46269</v>
      </c>
      <c r="R37" s="3">
        <v>46269</v>
      </c>
      <c r="S37" t="s">
        <v>260</v>
      </c>
      <c r="T37" t="s">
        <v>261</v>
      </c>
      <c r="U37" s="3"/>
      <c r="V37" s="4">
        <v>0</v>
      </c>
      <c r="W37" s="3">
        <v>46269</v>
      </c>
      <c r="X37" t="s">
        <v>2</v>
      </c>
      <c r="Y37" t="s">
        <v>0</v>
      </c>
      <c r="Z37" s="3"/>
      <c r="AA37" s="4">
        <v>0</v>
      </c>
      <c r="AB37" s="3"/>
      <c r="AC37" s="3">
        <v>46269</v>
      </c>
      <c r="AD37" t="s">
        <v>0</v>
      </c>
    </row>
    <row r="38" spans="1:30" hidden="1" x14ac:dyDescent="0.2">
      <c r="A38" t="s">
        <v>1</v>
      </c>
      <c r="B38" t="s">
        <v>3</v>
      </c>
      <c r="C38" t="s">
        <v>4</v>
      </c>
      <c r="D38" t="s">
        <v>262</v>
      </c>
      <c r="E38" t="s">
        <v>263</v>
      </c>
      <c r="F38" t="s">
        <v>0</v>
      </c>
      <c r="G38" t="s">
        <v>191</v>
      </c>
      <c r="H38" t="s">
        <v>192</v>
      </c>
      <c r="I38" s="2">
        <v>50</v>
      </c>
      <c r="J38" s="2">
        <v>0</v>
      </c>
      <c r="K38" s="2">
        <f t="shared" si="0"/>
        <v>50</v>
      </c>
      <c r="L38" s="2">
        <f t="shared" ca="1" si="1"/>
        <v>25</v>
      </c>
      <c r="M38" s="2" t="s">
        <v>1083</v>
      </c>
      <c r="N38" t="s">
        <v>160</v>
      </c>
      <c r="O38" s="3">
        <v>46269</v>
      </c>
      <c r="P38" s="3">
        <v>46269</v>
      </c>
      <c r="Q38" s="3">
        <v>46269</v>
      </c>
      <c r="R38" s="3">
        <v>46269</v>
      </c>
      <c r="S38" t="s">
        <v>264</v>
      </c>
      <c r="T38" t="s">
        <v>265</v>
      </c>
      <c r="U38" s="3"/>
      <c r="V38" s="4">
        <v>0</v>
      </c>
      <c r="W38" s="3">
        <v>46269</v>
      </c>
      <c r="X38" t="s">
        <v>2</v>
      </c>
      <c r="Y38" t="s">
        <v>0</v>
      </c>
      <c r="Z38" s="3"/>
      <c r="AA38" s="4">
        <v>0</v>
      </c>
      <c r="AB38" s="3"/>
      <c r="AC38" s="3">
        <v>46269</v>
      </c>
      <c r="AD38" t="s">
        <v>0</v>
      </c>
    </row>
    <row r="39" spans="1:30" hidden="1" x14ac:dyDescent="0.2">
      <c r="A39" t="s">
        <v>1</v>
      </c>
      <c r="B39" t="s">
        <v>5</v>
      </c>
      <c r="C39" t="s">
        <v>4</v>
      </c>
      <c r="D39" t="s">
        <v>266</v>
      </c>
      <c r="E39" t="s">
        <v>267</v>
      </c>
      <c r="F39" t="s">
        <v>0</v>
      </c>
      <c r="G39" t="s">
        <v>165</v>
      </c>
      <c r="H39" t="s">
        <v>166</v>
      </c>
      <c r="I39" s="2">
        <v>50</v>
      </c>
      <c r="J39" s="2">
        <v>0</v>
      </c>
      <c r="K39" s="2">
        <f t="shared" si="0"/>
        <v>50</v>
      </c>
      <c r="L39" s="2">
        <f t="shared" ca="1" si="1"/>
        <v>25</v>
      </c>
      <c r="M39" s="2" t="s">
        <v>1083</v>
      </c>
      <c r="N39" t="s">
        <v>160</v>
      </c>
      <c r="O39" s="3">
        <v>46269</v>
      </c>
      <c r="P39" s="3">
        <v>46269</v>
      </c>
      <c r="Q39" s="3">
        <v>46269</v>
      </c>
      <c r="R39" s="3">
        <v>46269</v>
      </c>
      <c r="S39" t="s">
        <v>268</v>
      </c>
      <c r="T39" t="s">
        <v>269</v>
      </c>
      <c r="U39" s="3"/>
      <c r="V39" s="4">
        <v>0</v>
      </c>
      <c r="W39" s="3">
        <v>46269</v>
      </c>
      <c r="X39" t="s">
        <v>2</v>
      </c>
      <c r="Y39" t="s">
        <v>0</v>
      </c>
      <c r="Z39" s="3"/>
      <c r="AA39" s="4">
        <v>0</v>
      </c>
      <c r="AB39" s="3"/>
      <c r="AC39" s="3">
        <v>46269</v>
      </c>
      <c r="AD39" t="s">
        <v>0</v>
      </c>
    </row>
    <row r="40" spans="1:30" hidden="1" x14ac:dyDescent="0.2">
      <c r="A40" t="s">
        <v>1</v>
      </c>
      <c r="B40" t="s">
        <v>3</v>
      </c>
      <c r="C40" t="s">
        <v>4</v>
      </c>
      <c r="D40" t="s">
        <v>270</v>
      </c>
      <c r="E40" t="s">
        <v>271</v>
      </c>
      <c r="F40" t="s">
        <v>0</v>
      </c>
      <c r="G40" t="s">
        <v>201</v>
      </c>
      <c r="H40" t="s">
        <v>202</v>
      </c>
      <c r="I40" s="2">
        <v>50</v>
      </c>
      <c r="J40" s="2">
        <v>0</v>
      </c>
      <c r="K40" s="2">
        <f t="shared" si="0"/>
        <v>50</v>
      </c>
      <c r="L40" s="2">
        <f t="shared" ca="1" si="1"/>
        <v>25</v>
      </c>
      <c r="M40" s="2" t="s">
        <v>1083</v>
      </c>
      <c r="N40" t="s">
        <v>160</v>
      </c>
      <c r="O40" s="3">
        <v>46269</v>
      </c>
      <c r="P40" s="3">
        <v>46269</v>
      </c>
      <c r="Q40" s="3">
        <v>46269</v>
      </c>
      <c r="R40" s="3">
        <v>46269</v>
      </c>
      <c r="S40" t="s">
        <v>272</v>
      </c>
      <c r="T40" t="s">
        <v>273</v>
      </c>
      <c r="U40" s="3"/>
      <c r="V40" s="4">
        <v>0</v>
      </c>
      <c r="W40" s="3">
        <v>46269</v>
      </c>
      <c r="X40" t="s">
        <v>2</v>
      </c>
      <c r="Y40" t="s">
        <v>0</v>
      </c>
      <c r="Z40" s="3"/>
      <c r="AA40" s="4">
        <v>0</v>
      </c>
      <c r="AB40" s="3"/>
      <c r="AC40" s="3">
        <v>46269</v>
      </c>
      <c r="AD40" t="s">
        <v>0</v>
      </c>
    </row>
    <row r="41" spans="1:30" hidden="1" x14ac:dyDescent="0.2">
      <c r="A41" t="s">
        <v>1</v>
      </c>
      <c r="B41" t="s">
        <v>5</v>
      </c>
      <c r="C41" t="s">
        <v>4</v>
      </c>
      <c r="D41" t="s">
        <v>274</v>
      </c>
      <c r="E41" t="s">
        <v>275</v>
      </c>
      <c r="F41" t="s">
        <v>0</v>
      </c>
      <c r="G41" t="s">
        <v>165</v>
      </c>
      <c r="H41" t="s">
        <v>166</v>
      </c>
      <c r="I41" s="2">
        <v>50</v>
      </c>
      <c r="J41" s="2">
        <v>0</v>
      </c>
      <c r="K41" s="2">
        <f t="shared" si="0"/>
        <v>50</v>
      </c>
      <c r="L41" s="2">
        <f t="shared" ca="1" si="1"/>
        <v>25</v>
      </c>
      <c r="M41" s="2" t="s">
        <v>1083</v>
      </c>
      <c r="N41" t="s">
        <v>160</v>
      </c>
      <c r="O41" s="3">
        <v>46269</v>
      </c>
      <c r="P41" s="3">
        <v>46269</v>
      </c>
      <c r="Q41" s="3">
        <v>46269</v>
      </c>
      <c r="R41" s="3">
        <v>46269</v>
      </c>
      <c r="S41" t="s">
        <v>276</v>
      </c>
      <c r="T41" t="s">
        <v>277</v>
      </c>
      <c r="U41" s="3"/>
      <c r="V41" s="4">
        <v>0</v>
      </c>
      <c r="W41" s="3">
        <v>46269</v>
      </c>
      <c r="X41" t="s">
        <v>2</v>
      </c>
      <c r="Y41" t="s">
        <v>0</v>
      </c>
      <c r="Z41" s="3"/>
      <c r="AA41" s="4">
        <v>0</v>
      </c>
      <c r="AB41" s="3"/>
      <c r="AC41" s="3">
        <v>46269</v>
      </c>
      <c r="AD41" t="s">
        <v>0</v>
      </c>
    </row>
    <row r="42" spans="1:30" hidden="1" x14ac:dyDescent="0.2">
      <c r="A42" t="s">
        <v>1</v>
      </c>
      <c r="B42" t="s">
        <v>24</v>
      </c>
      <c r="C42" t="s">
        <v>23</v>
      </c>
      <c r="D42" t="s">
        <v>278</v>
      </c>
      <c r="E42" t="s">
        <v>279</v>
      </c>
      <c r="F42" t="s">
        <v>0</v>
      </c>
      <c r="G42" t="s">
        <v>26</v>
      </c>
      <c r="H42" t="s">
        <v>14</v>
      </c>
      <c r="I42" s="2">
        <v>100</v>
      </c>
      <c r="J42" s="2">
        <v>100</v>
      </c>
      <c r="K42" s="2">
        <f t="shared" si="0"/>
        <v>0</v>
      </c>
      <c r="L42" s="2">
        <f t="shared" ca="1" si="1"/>
        <v>25</v>
      </c>
      <c r="M42" s="2" t="s">
        <v>1083</v>
      </c>
      <c r="N42" t="s">
        <v>280</v>
      </c>
      <c r="O42" s="3">
        <v>46269</v>
      </c>
      <c r="P42" s="3">
        <v>46269</v>
      </c>
      <c r="Q42" s="3">
        <v>46269</v>
      </c>
      <c r="R42" s="3">
        <v>46270</v>
      </c>
      <c r="S42" t="s">
        <v>281</v>
      </c>
      <c r="T42" t="s">
        <v>282</v>
      </c>
      <c r="U42" s="3">
        <v>46270</v>
      </c>
      <c r="V42" s="4">
        <v>0.92420138888889003</v>
      </c>
      <c r="W42" s="3">
        <v>46287</v>
      </c>
      <c r="X42" t="s">
        <v>2</v>
      </c>
      <c r="Y42" t="s">
        <v>34</v>
      </c>
      <c r="Z42" s="3">
        <v>46270</v>
      </c>
      <c r="AA42" s="4">
        <v>0.41729166666667</v>
      </c>
      <c r="AB42" s="3">
        <v>46269</v>
      </c>
      <c r="AC42" s="3">
        <v>46269</v>
      </c>
      <c r="AD42" t="s">
        <v>0</v>
      </c>
    </row>
    <row r="43" spans="1:30" hidden="1" x14ac:dyDescent="0.2">
      <c r="A43" t="s">
        <v>1</v>
      </c>
      <c r="B43" t="s">
        <v>3</v>
      </c>
      <c r="C43" t="s">
        <v>4</v>
      </c>
      <c r="D43" t="s">
        <v>283</v>
      </c>
      <c r="E43" t="s">
        <v>284</v>
      </c>
      <c r="F43" t="s">
        <v>0</v>
      </c>
      <c r="G43" t="s">
        <v>70</v>
      </c>
      <c r="H43" t="s">
        <v>71</v>
      </c>
      <c r="I43" s="2">
        <v>500</v>
      </c>
      <c r="J43" s="2">
        <v>449</v>
      </c>
      <c r="K43" s="2">
        <f t="shared" si="0"/>
        <v>51</v>
      </c>
      <c r="L43" s="2">
        <f t="shared" ca="1" si="1"/>
        <v>24</v>
      </c>
      <c r="M43" s="2" t="s">
        <v>1083</v>
      </c>
      <c r="N43" t="s">
        <v>167</v>
      </c>
      <c r="O43" s="3">
        <v>46270</v>
      </c>
      <c r="P43" s="3">
        <v>46270</v>
      </c>
      <c r="Q43" s="3">
        <v>46270</v>
      </c>
      <c r="R43" s="3">
        <v>46270</v>
      </c>
      <c r="S43" t="s">
        <v>285</v>
      </c>
      <c r="T43" t="s">
        <v>286</v>
      </c>
      <c r="U43" s="3">
        <v>46284</v>
      </c>
      <c r="V43" s="4">
        <v>0.28902777777777999</v>
      </c>
      <c r="W43" s="3">
        <v>46284</v>
      </c>
      <c r="X43" t="s">
        <v>2</v>
      </c>
      <c r="Y43" t="s">
        <v>0</v>
      </c>
      <c r="Z43" s="3"/>
      <c r="AA43" s="4">
        <v>0</v>
      </c>
      <c r="AB43" s="3">
        <v>46284</v>
      </c>
      <c r="AC43" s="3">
        <v>46270</v>
      </c>
      <c r="AD43" t="s">
        <v>0</v>
      </c>
    </row>
    <row r="44" spans="1:30" hidden="1" x14ac:dyDescent="0.2">
      <c r="A44" t="s">
        <v>1</v>
      </c>
      <c r="B44" t="s">
        <v>3</v>
      </c>
      <c r="C44" t="s">
        <v>4</v>
      </c>
      <c r="D44" t="s">
        <v>287</v>
      </c>
      <c r="E44" t="s">
        <v>288</v>
      </c>
      <c r="F44" t="s">
        <v>0</v>
      </c>
      <c r="G44" t="s">
        <v>45</v>
      </c>
      <c r="H44" t="s">
        <v>46</v>
      </c>
      <c r="I44" s="2">
        <v>500</v>
      </c>
      <c r="J44" s="2">
        <v>500</v>
      </c>
      <c r="K44" s="2">
        <f t="shared" si="0"/>
        <v>0</v>
      </c>
      <c r="L44" s="2">
        <f t="shared" ca="1" si="1"/>
        <v>22</v>
      </c>
      <c r="M44" s="2" t="s">
        <v>1083</v>
      </c>
      <c r="N44" t="s">
        <v>89</v>
      </c>
      <c r="O44" s="3">
        <v>46272</v>
      </c>
      <c r="P44" s="3">
        <v>46272</v>
      </c>
      <c r="Q44" s="3">
        <v>46272</v>
      </c>
      <c r="R44" s="3">
        <v>46272</v>
      </c>
      <c r="S44" t="s">
        <v>289</v>
      </c>
      <c r="T44" t="s">
        <v>290</v>
      </c>
      <c r="U44" s="3">
        <v>46282</v>
      </c>
      <c r="V44" s="4">
        <v>0.88285879629630004</v>
      </c>
      <c r="W44" s="3">
        <v>46282</v>
      </c>
      <c r="X44" t="s">
        <v>67</v>
      </c>
      <c r="Y44" t="s">
        <v>0</v>
      </c>
      <c r="Z44" s="3"/>
      <c r="AA44" s="4">
        <v>0</v>
      </c>
      <c r="AB44" s="3">
        <v>46282</v>
      </c>
      <c r="AC44" s="3">
        <v>46272</v>
      </c>
      <c r="AD44" t="s">
        <v>0</v>
      </c>
    </row>
    <row r="45" spans="1:30" hidden="1" x14ac:dyDescent="0.2">
      <c r="A45" t="s">
        <v>1</v>
      </c>
      <c r="B45" t="s">
        <v>5</v>
      </c>
      <c r="C45" t="s">
        <v>4</v>
      </c>
      <c r="D45" t="s">
        <v>291</v>
      </c>
      <c r="E45" t="s">
        <v>292</v>
      </c>
      <c r="F45" t="s">
        <v>0</v>
      </c>
      <c r="G45" t="s">
        <v>47</v>
      </c>
      <c r="H45" t="s">
        <v>48</v>
      </c>
      <c r="I45" s="2">
        <v>500</v>
      </c>
      <c r="J45" s="2">
        <v>499</v>
      </c>
      <c r="K45" s="2">
        <f t="shared" si="0"/>
        <v>1</v>
      </c>
      <c r="L45" s="2">
        <f t="shared" ca="1" si="1"/>
        <v>22</v>
      </c>
      <c r="M45" s="2" t="s">
        <v>1083</v>
      </c>
      <c r="N45" t="s">
        <v>167</v>
      </c>
      <c r="O45" s="3">
        <v>46272</v>
      </c>
      <c r="P45" s="3">
        <v>46272</v>
      </c>
      <c r="Q45" s="3">
        <v>46272</v>
      </c>
      <c r="R45" s="3">
        <v>46272</v>
      </c>
      <c r="S45" t="s">
        <v>293</v>
      </c>
      <c r="T45" t="s">
        <v>294</v>
      </c>
      <c r="U45" s="3">
        <v>46284</v>
      </c>
      <c r="V45" s="4">
        <v>0.66024305555555995</v>
      </c>
      <c r="W45" s="3">
        <v>46272</v>
      </c>
      <c r="X45" t="s">
        <v>2</v>
      </c>
      <c r="Y45" t="s">
        <v>0</v>
      </c>
      <c r="Z45" s="3"/>
      <c r="AA45" s="4">
        <v>0</v>
      </c>
      <c r="AB45" s="3">
        <v>46282</v>
      </c>
      <c r="AC45" s="3">
        <v>46272</v>
      </c>
      <c r="AD45" t="s">
        <v>0</v>
      </c>
    </row>
    <row r="46" spans="1:30" hidden="1" x14ac:dyDescent="0.2">
      <c r="A46" t="s">
        <v>1</v>
      </c>
      <c r="B46" t="s">
        <v>3</v>
      </c>
      <c r="C46" t="s">
        <v>4</v>
      </c>
      <c r="D46" t="s">
        <v>295</v>
      </c>
      <c r="E46" t="s">
        <v>296</v>
      </c>
      <c r="F46" t="s">
        <v>0</v>
      </c>
      <c r="G46" t="s">
        <v>45</v>
      </c>
      <c r="H46" t="s">
        <v>46</v>
      </c>
      <c r="I46" s="2">
        <v>500</v>
      </c>
      <c r="J46" s="2">
        <v>500</v>
      </c>
      <c r="K46" s="2">
        <f t="shared" si="0"/>
        <v>0</v>
      </c>
      <c r="L46" s="2">
        <f t="shared" ca="1" si="1"/>
        <v>22</v>
      </c>
      <c r="M46" s="2" t="s">
        <v>1083</v>
      </c>
      <c r="N46" t="s">
        <v>89</v>
      </c>
      <c r="O46" s="3">
        <v>46272</v>
      </c>
      <c r="P46" s="3">
        <v>46272</v>
      </c>
      <c r="Q46" s="3">
        <v>46272</v>
      </c>
      <c r="R46" s="3">
        <v>46272</v>
      </c>
      <c r="S46" t="s">
        <v>297</v>
      </c>
      <c r="T46" t="s">
        <v>298</v>
      </c>
      <c r="U46" s="3">
        <v>46284</v>
      </c>
      <c r="V46" s="4">
        <v>0.33074074074074</v>
      </c>
      <c r="W46" s="3">
        <v>46283</v>
      </c>
      <c r="X46" t="s">
        <v>2</v>
      </c>
      <c r="Y46" t="s">
        <v>0</v>
      </c>
      <c r="Z46" s="3"/>
      <c r="AA46" s="4">
        <v>0</v>
      </c>
      <c r="AB46" s="3">
        <v>46284</v>
      </c>
      <c r="AC46" s="3">
        <v>46272</v>
      </c>
      <c r="AD46" t="s">
        <v>0</v>
      </c>
    </row>
    <row r="47" spans="1:30" hidden="1" x14ac:dyDescent="0.2">
      <c r="A47" t="s">
        <v>1</v>
      </c>
      <c r="B47" t="s">
        <v>5</v>
      </c>
      <c r="C47" t="s">
        <v>4</v>
      </c>
      <c r="D47" t="s">
        <v>299</v>
      </c>
      <c r="E47" t="s">
        <v>300</v>
      </c>
      <c r="F47" t="s">
        <v>0</v>
      </c>
      <c r="G47" t="s">
        <v>47</v>
      </c>
      <c r="H47" t="s">
        <v>48</v>
      </c>
      <c r="I47" s="2">
        <v>500</v>
      </c>
      <c r="J47" s="2">
        <v>500</v>
      </c>
      <c r="K47" s="2">
        <f t="shared" si="0"/>
        <v>0</v>
      </c>
      <c r="L47" s="2">
        <f t="shared" ca="1" si="1"/>
        <v>22</v>
      </c>
      <c r="M47" s="2" t="s">
        <v>1083</v>
      </c>
      <c r="N47" t="s">
        <v>89</v>
      </c>
      <c r="O47" s="3">
        <v>46272</v>
      </c>
      <c r="P47" s="3">
        <v>46272</v>
      </c>
      <c r="Q47" s="3">
        <v>46272</v>
      </c>
      <c r="R47" s="3">
        <v>46272</v>
      </c>
      <c r="S47" t="s">
        <v>301</v>
      </c>
      <c r="T47" t="s">
        <v>302</v>
      </c>
      <c r="U47" s="3">
        <v>46284</v>
      </c>
      <c r="V47" s="4">
        <v>0.37606481481481002</v>
      </c>
      <c r="W47" s="3">
        <v>46272</v>
      </c>
      <c r="X47" t="s">
        <v>2</v>
      </c>
      <c r="Y47" t="s">
        <v>0</v>
      </c>
      <c r="Z47" s="3"/>
      <c r="AA47" s="4">
        <v>0</v>
      </c>
      <c r="AB47" s="3">
        <v>46284</v>
      </c>
      <c r="AC47" s="3">
        <v>46272</v>
      </c>
      <c r="AD47" t="s">
        <v>0</v>
      </c>
    </row>
    <row r="48" spans="1:30" hidden="1" x14ac:dyDescent="0.2">
      <c r="A48" t="s">
        <v>1</v>
      </c>
      <c r="B48" t="s">
        <v>3</v>
      </c>
      <c r="C48" t="s">
        <v>4</v>
      </c>
      <c r="D48" t="s">
        <v>303</v>
      </c>
      <c r="E48" t="s">
        <v>304</v>
      </c>
      <c r="F48" t="s">
        <v>0</v>
      </c>
      <c r="G48" t="s">
        <v>45</v>
      </c>
      <c r="H48" t="s">
        <v>46</v>
      </c>
      <c r="I48" s="2">
        <v>500</v>
      </c>
      <c r="J48" s="2">
        <v>500</v>
      </c>
      <c r="K48" s="2">
        <f t="shared" si="0"/>
        <v>0</v>
      </c>
      <c r="L48" s="2">
        <f t="shared" ca="1" si="1"/>
        <v>22</v>
      </c>
      <c r="M48" s="2" t="s">
        <v>1083</v>
      </c>
      <c r="N48" t="s">
        <v>89</v>
      </c>
      <c r="O48" s="3">
        <v>46272</v>
      </c>
      <c r="P48" s="3">
        <v>46272</v>
      </c>
      <c r="Q48" s="3">
        <v>46272</v>
      </c>
      <c r="R48" s="3">
        <v>46272</v>
      </c>
      <c r="S48" t="s">
        <v>305</v>
      </c>
      <c r="T48" t="s">
        <v>306</v>
      </c>
      <c r="U48" s="3">
        <v>46284</v>
      </c>
      <c r="V48" s="4">
        <v>0.33769675925926002</v>
      </c>
      <c r="W48" s="3">
        <v>46283</v>
      </c>
      <c r="X48" t="s">
        <v>2</v>
      </c>
      <c r="Y48" t="s">
        <v>0</v>
      </c>
      <c r="Z48" s="3"/>
      <c r="AA48" s="4">
        <v>0</v>
      </c>
      <c r="AB48" s="3">
        <v>46284</v>
      </c>
      <c r="AC48" s="3">
        <v>46272</v>
      </c>
      <c r="AD48" t="s">
        <v>0</v>
      </c>
    </row>
    <row r="49" spans="1:30" hidden="1" x14ac:dyDescent="0.2">
      <c r="A49" t="s">
        <v>1</v>
      </c>
      <c r="B49" t="s">
        <v>5</v>
      </c>
      <c r="C49" t="s">
        <v>4</v>
      </c>
      <c r="D49" t="s">
        <v>307</v>
      </c>
      <c r="E49" t="s">
        <v>308</v>
      </c>
      <c r="F49" t="s">
        <v>0</v>
      </c>
      <c r="G49" t="s">
        <v>47</v>
      </c>
      <c r="H49" t="s">
        <v>48</v>
      </c>
      <c r="I49" s="2">
        <v>500</v>
      </c>
      <c r="J49" s="2">
        <v>499</v>
      </c>
      <c r="K49" s="2">
        <f t="shared" si="0"/>
        <v>1</v>
      </c>
      <c r="L49" s="2">
        <f t="shared" ca="1" si="1"/>
        <v>22</v>
      </c>
      <c r="M49" s="2" t="s">
        <v>1083</v>
      </c>
      <c r="N49" t="s">
        <v>167</v>
      </c>
      <c r="O49" s="3">
        <v>46272</v>
      </c>
      <c r="P49" s="3">
        <v>46272</v>
      </c>
      <c r="Q49" s="3">
        <v>46272</v>
      </c>
      <c r="R49" s="3">
        <v>46272</v>
      </c>
      <c r="S49" t="s">
        <v>309</v>
      </c>
      <c r="T49" t="s">
        <v>310</v>
      </c>
      <c r="U49" s="3">
        <v>46284</v>
      </c>
      <c r="V49" s="4">
        <v>0.34428240740741001</v>
      </c>
      <c r="W49" s="3">
        <v>46272</v>
      </c>
      <c r="X49" t="s">
        <v>2</v>
      </c>
      <c r="Y49" t="s">
        <v>0</v>
      </c>
      <c r="Z49" s="3"/>
      <c r="AA49" s="4">
        <v>0</v>
      </c>
      <c r="AB49" s="3">
        <v>46284</v>
      </c>
      <c r="AC49" s="3">
        <v>46272</v>
      </c>
      <c r="AD49" t="s">
        <v>0</v>
      </c>
    </row>
    <row r="50" spans="1:30" hidden="1" x14ac:dyDescent="0.2">
      <c r="A50" t="s">
        <v>1</v>
      </c>
      <c r="B50" t="s">
        <v>3</v>
      </c>
      <c r="C50" t="s">
        <v>4</v>
      </c>
      <c r="D50" t="s">
        <v>311</v>
      </c>
      <c r="E50" t="s">
        <v>312</v>
      </c>
      <c r="F50" t="s">
        <v>0</v>
      </c>
      <c r="G50" t="s">
        <v>45</v>
      </c>
      <c r="H50" t="s">
        <v>46</v>
      </c>
      <c r="I50" s="2">
        <v>500</v>
      </c>
      <c r="J50" s="2">
        <v>500</v>
      </c>
      <c r="K50" s="2">
        <f t="shared" si="0"/>
        <v>0</v>
      </c>
      <c r="L50" s="2">
        <f t="shared" ca="1" si="1"/>
        <v>22</v>
      </c>
      <c r="M50" s="2" t="s">
        <v>1083</v>
      </c>
      <c r="N50" t="s">
        <v>89</v>
      </c>
      <c r="O50" s="3">
        <v>46272</v>
      </c>
      <c r="P50" s="3">
        <v>46272</v>
      </c>
      <c r="Q50" s="3">
        <v>46272</v>
      </c>
      <c r="R50" s="3">
        <v>46272</v>
      </c>
      <c r="S50" t="s">
        <v>313</v>
      </c>
      <c r="T50" t="s">
        <v>314</v>
      </c>
      <c r="U50" s="3">
        <v>46284</v>
      </c>
      <c r="V50" s="4">
        <v>0.52189814814815005</v>
      </c>
      <c r="W50" s="3">
        <v>46284</v>
      </c>
      <c r="X50" t="s">
        <v>67</v>
      </c>
      <c r="Y50" t="s">
        <v>0</v>
      </c>
      <c r="Z50" s="3"/>
      <c r="AA50" s="4">
        <v>0</v>
      </c>
      <c r="AB50" s="3">
        <v>46284</v>
      </c>
      <c r="AC50" s="3">
        <v>46272</v>
      </c>
      <c r="AD50" t="s">
        <v>0</v>
      </c>
    </row>
    <row r="51" spans="1:30" hidden="1" x14ac:dyDescent="0.2">
      <c r="A51" t="s">
        <v>1</v>
      </c>
      <c r="B51" t="s">
        <v>5</v>
      </c>
      <c r="C51" t="s">
        <v>4</v>
      </c>
      <c r="D51" t="s">
        <v>315</v>
      </c>
      <c r="E51" t="s">
        <v>316</v>
      </c>
      <c r="F51" t="s">
        <v>0</v>
      </c>
      <c r="G51" t="s">
        <v>47</v>
      </c>
      <c r="H51" t="s">
        <v>48</v>
      </c>
      <c r="I51" s="2">
        <v>500</v>
      </c>
      <c r="J51" s="2">
        <v>495</v>
      </c>
      <c r="K51" s="2">
        <f t="shared" si="0"/>
        <v>5</v>
      </c>
      <c r="L51" s="2">
        <f t="shared" ca="1" si="1"/>
        <v>22</v>
      </c>
      <c r="M51" s="2" t="s">
        <v>1083</v>
      </c>
      <c r="N51" t="s">
        <v>167</v>
      </c>
      <c r="O51" s="3">
        <v>46272</v>
      </c>
      <c r="P51" s="3">
        <v>46272</v>
      </c>
      <c r="Q51" s="3">
        <v>46272</v>
      </c>
      <c r="R51" s="3">
        <v>46272</v>
      </c>
      <c r="S51" t="s">
        <v>317</v>
      </c>
      <c r="T51" t="s">
        <v>318</v>
      </c>
      <c r="U51" s="3">
        <v>46284</v>
      </c>
      <c r="V51" s="4">
        <v>0.52831018518519002</v>
      </c>
      <c r="W51" s="3">
        <v>46272</v>
      </c>
      <c r="X51" t="s">
        <v>2</v>
      </c>
      <c r="Y51" t="s">
        <v>0</v>
      </c>
      <c r="Z51" s="3"/>
      <c r="AA51" s="4">
        <v>0</v>
      </c>
      <c r="AB51" s="3">
        <v>46284</v>
      </c>
      <c r="AC51" s="3">
        <v>46272</v>
      </c>
      <c r="AD51" t="s">
        <v>0</v>
      </c>
    </row>
    <row r="52" spans="1:30" hidden="1" x14ac:dyDescent="0.2">
      <c r="A52" t="s">
        <v>1</v>
      </c>
      <c r="B52" t="s">
        <v>3</v>
      </c>
      <c r="C52" t="s">
        <v>4</v>
      </c>
      <c r="D52" t="s">
        <v>319</v>
      </c>
      <c r="E52" t="s">
        <v>320</v>
      </c>
      <c r="F52" t="s">
        <v>0</v>
      </c>
      <c r="G52" t="s">
        <v>38</v>
      </c>
      <c r="H52" t="s">
        <v>39</v>
      </c>
      <c r="I52" s="2">
        <v>500</v>
      </c>
      <c r="J52" s="2">
        <v>500</v>
      </c>
      <c r="K52" s="2">
        <f t="shared" si="0"/>
        <v>0</v>
      </c>
      <c r="L52" s="2">
        <f t="shared" ca="1" si="1"/>
        <v>17</v>
      </c>
      <c r="M52" s="2" t="s">
        <v>1083</v>
      </c>
      <c r="N52" t="s">
        <v>89</v>
      </c>
      <c r="O52" s="3">
        <v>46277</v>
      </c>
      <c r="P52" s="3">
        <v>46277</v>
      </c>
      <c r="Q52" s="3">
        <v>46277</v>
      </c>
      <c r="R52" s="3">
        <v>46277</v>
      </c>
      <c r="S52" t="s">
        <v>321</v>
      </c>
      <c r="T52" t="s">
        <v>322</v>
      </c>
      <c r="U52" s="3">
        <v>46281</v>
      </c>
      <c r="V52" s="4">
        <v>0.41097222222222002</v>
      </c>
      <c r="W52" s="3">
        <v>46281</v>
      </c>
      <c r="X52" t="s">
        <v>2</v>
      </c>
      <c r="Y52" t="s">
        <v>0</v>
      </c>
      <c r="Z52" s="3"/>
      <c r="AA52" s="4">
        <v>0</v>
      </c>
      <c r="AB52" s="3">
        <v>46281</v>
      </c>
      <c r="AC52" s="3">
        <v>46277</v>
      </c>
      <c r="AD52" t="s">
        <v>0</v>
      </c>
    </row>
    <row r="53" spans="1:30" hidden="1" x14ac:dyDescent="0.2">
      <c r="A53" t="s">
        <v>1</v>
      </c>
      <c r="B53" t="s">
        <v>5</v>
      </c>
      <c r="C53" t="s">
        <v>4</v>
      </c>
      <c r="D53" t="s">
        <v>323</v>
      </c>
      <c r="E53" t="s">
        <v>324</v>
      </c>
      <c r="F53" t="s">
        <v>0</v>
      </c>
      <c r="G53" t="s">
        <v>36</v>
      </c>
      <c r="H53" t="s">
        <v>37</v>
      </c>
      <c r="I53" s="2">
        <v>500</v>
      </c>
      <c r="J53" s="2">
        <v>494</v>
      </c>
      <c r="K53" s="2">
        <f t="shared" si="0"/>
        <v>6</v>
      </c>
      <c r="L53" s="2">
        <f t="shared" ca="1" si="1"/>
        <v>17</v>
      </c>
      <c r="M53" s="2" t="s">
        <v>1083</v>
      </c>
      <c r="N53" t="s">
        <v>167</v>
      </c>
      <c r="O53" s="3">
        <v>46277</v>
      </c>
      <c r="P53" s="3">
        <v>46277</v>
      </c>
      <c r="Q53" s="3">
        <v>46277</v>
      </c>
      <c r="R53" s="3">
        <v>46277</v>
      </c>
      <c r="S53" t="s">
        <v>325</v>
      </c>
      <c r="T53" t="s">
        <v>326</v>
      </c>
      <c r="U53" s="3">
        <v>46281</v>
      </c>
      <c r="V53" s="4">
        <v>0.29210648148148</v>
      </c>
      <c r="W53" s="3">
        <v>46277</v>
      </c>
      <c r="X53" t="s">
        <v>2</v>
      </c>
      <c r="Y53" t="s">
        <v>0</v>
      </c>
      <c r="Z53" s="3"/>
      <c r="AA53" s="4">
        <v>0</v>
      </c>
      <c r="AB53" s="3">
        <v>46281</v>
      </c>
      <c r="AC53" s="3">
        <v>46277</v>
      </c>
      <c r="AD53" t="s">
        <v>0</v>
      </c>
    </row>
    <row r="54" spans="1:30" hidden="1" x14ac:dyDescent="0.2">
      <c r="A54" t="s">
        <v>1</v>
      </c>
      <c r="B54" t="s">
        <v>3</v>
      </c>
      <c r="C54" t="s">
        <v>4</v>
      </c>
      <c r="D54" t="s">
        <v>327</v>
      </c>
      <c r="E54" t="s">
        <v>328</v>
      </c>
      <c r="F54" t="s">
        <v>0</v>
      </c>
      <c r="G54" t="s">
        <v>72</v>
      </c>
      <c r="H54" t="s">
        <v>73</v>
      </c>
      <c r="I54" s="2">
        <v>500</v>
      </c>
      <c r="J54" s="2">
        <v>497</v>
      </c>
      <c r="K54" s="2">
        <f t="shared" si="0"/>
        <v>3</v>
      </c>
      <c r="L54" s="2">
        <f t="shared" ca="1" si="1"/>
        <v>15</v>
      </c>
      <c r="M54" s="2" t="s">
        <v>1083</v>
      </c>
      <c r="N54" t="s">
        <v>167</v>
      </c>
      <c r="O54" s="3">
        <v>46279</v>
      </c>
      <c r="P54" s="3">
        <v>46279</v>
      </c>
      <c r="Q54" s="3">
        <v>46279</v>
      </c>
      <c r="R54" s="3">
        <v>46279</v>
      </c>
      <c r="S54" t="s">
        <v>329</v>
      </c>
      <c r="T54" t="s">
        <v>330</v>
      </c>
      <c r="U54" s="3">
        <v>46282</v>
      </c>
      <c r="V54" s="4">
        <v>0.49983796296296001</v>
      </c>
      <c r="W54" s="3">
        <v>46282</v>
      </c>
      <c r="X54" t="s">
        <v>2</v>
      </c>
      <c r="Y54" t="s">
        <v>0</v>
      </c>
      <c r="Z54" s="3"/>
      <c r="AA54" s="4">
        <v>0</v>
      </c>
      <c r="AB54" s="3">
        <v>46282</v>
      </c>
      <c r="AC54" s="3">
        <v>46279</v>
      </c>
      <c r="AD54" t="s">
        <v>0</v>
      </c>
    </row>
    <row r="55" spans="1:30" hidden="1" x14ac:dyDescent="0.2">
      <c r="A55" t="s">
        <v>1</v>
      </c>
      <c r="B55" t="s">
        <v>3</v>
      </c>
      <c r="C55" t="s">
        <v>4</v>
      </c>
      <c r="D55" t="s">
        <v>331</v>
      </c>
      <c r="E55" t="s">
        <v>332</v>
      </c>
      <c r="F55" t="s">
        <v>0</v>
      </c>
      <c r="G55" t="s">
        <v>72</v>
      </c>
      <c r="H55" t="s">
        <v>73</v>
      </c>
      <c r="I55" s="2">
        <v>500</v>
      </c>
      <c r="J55" s="2">
        <v>499</v>
      </c>
      <c r="K55" s="2">
        <f t="shared" si="0"/>
        <v>1</v>
      </c>
      <c r="L55" s="2">
        <f t="shared" ca="1" si="1"/>
        <v>15</v>
      </c>
      <c r="M55" s="2" t="s">
        <v>1083</v>
      </c>
      <c r="N55" t="s">
        <v>167</v>
      </c>
      <c r="O55" s="3">
        <v>46279</v>
      </c>
      <c r="P55" s="3">
        <v>46279</v>
      </c>
      <c r="Q55" s="3">
        <v>46279</v>
      </c>
      <c r="R55" s="3">
        <v>46279</v>
      </c>
      <c r="S55" t="s">
        <v>333</v>
      </c>
      <c r="T55" t="s">
        <v>334</v>
      </c>
      <c r="U55" s="3">
        <v>46282</v>
      </c>
      <c r="V55" s="4">
        <v>0.50321759259259002</v>
      </c>
      <c r="W55" s="3">
        <v>46282</v>
      </c>
      <c r="X55" t="s">
        <v>2</v>
      </c>
      <c r="Y55" t="s">
        <v>0</v>
      </c>
      <c r="Z55" s="3"/>
      <c r="AA55" s="4">
        <v>0</v>
      </c>
      <c r="AB55" s="3">
        <v>46282</v>
      </c>
      <c r="AC55" s="3">
        <v>46279</v>
      </c>
      <c r="AD55" t="s">
        <v>0</v>
      </c>
    </row>
    <row r="56" spans="1:30" hidden="1" x14ac:dyDescent="0.2">
      <c r="A56" t="s">
        <v>1</v>
      </c>
      <c r="B56" t="s">
        <v>3</v>
      </c>
      <c r="C56" t="s">
        <v>4</v>
      </c>
      <c r="D56" t="s">
        <v>335</v>
      </c>
      <c r="E56" t="s">
        <v>336</v>
      </c>
      <c r="F56" t="s">
        <v>0</v>
      </c>
      <c r="G56" t="s">
        <v>72</v>
      </c>
      <c r="H56" t="s">
        <v>73</v>
      </c>
      <c r="I56" s="2">
        <v>500</v>
      </c>
      <c r="J56" s="2">
        <v>496</v>
      </c>
      <c r="K56" s="2">
        <f t="shared" si="0"/>
        <v>4</v>
      </c>
      <c r="L56" s="2">
        <f t="shared" ca="1" si="1"/>
        <v>12</v>
      </c>
      <c r="M56" s="2" t="s">
        <v>1083</v>
      </c>
      <c r="N56" t="s">
        <v>167</v>
      </c>
      <c r="O56" s="3">
        <v>46279</v>
      </c>
      <c r="P56" s="3">
        <v>46282</v>
      </c>
      <c r="Q56" s="3">
        <v>46282</v>
      </c>
      <c r="R56" s="3">
        <v>46282</v>
      </c>
      <c r="S56" t="s">
        <v>337</v>
      </c>
      <c r="T56" t="s">
        <v>338</v>
      </c>
      <c r="U56" s="3">
        <v>46283</v>
      </c>
      <c r="V56" s="4">
        <v>0.60849537037037005</v>
      </c>
      <c r="W56" s="3">
        <v>46283</v>
      </c>
      <c r="X56" t="s">
        <v>2</v>
      </c>
      <c r="Y56" t="s">
        <v>0</v>
      </c>
      <c r="Z56" s="3"/>
      <c r="AA56" s="4">
        <v>0</v>
      </c>
      <c r="AB56" s="3">
        <v>46283</v>
      </c>
      <c r="AC56" s="3">
        <v>46282</v>
      </c>
      <c r="AD56" t="s">
        <v>0</v>
      </c>
    </row>
    <row r="57" spans="1:30" hidden="1" x14ac:dyDescent="0.2">
      <c r="A57" t="s">
        <v>1</v>
      </c>
      <c r="B57" t="s">
        <v>3</v>
      </c>
      <c r="C57" t="s">
        <v>4</v>
      </c>
      <c r="D57" t="s">
        <v>339</v>
      </c>
      <c r="E57" t="s">
        <v>340</v>
      </c>
      <c r="F57" t="s">
        <v>0</v>
      </c>
      <c r="G57" t="s">
        <v>72</v>
      </c>
      <c r="H57" t="s">
        <v>73</v>
      </c>
      <c r="I57" s="2">
        <v>500</v>
      </c>
      <c r="J57" s="2">
        <v>500</v>
      </c>
      <c r="K57" s="2">
        <f t="shared" si="0"/>
        <v>0</v>
      </c>
      <c r="L57" s="2">
        <f t="shared" ca="1" si="1"/>
        <v>12</v>
      </c>
      <c r="M57" s="2" t="s">
        <v>1083</v>
      </c>
      <c r="N57" t="s">
        <v>89</v>
      </c>
      <c r="O57" s="3">
        <v>46279</v>
      </c>
      <c r="P57" s="3">
        <v>46282</v>
      </c>
      <c r="Q57" s="3">
        <v>46282</v>
      </c>
      <c r="R57" s="3">
        <v>46282</v>
      </c>
      <c r="S57" t="s">
        <v>341</v>
      </c>
      <c r="T57" t="s">
        <v>342</v>
      </c>
      <c r="U57" s="3">
        <v>46284</v>
      </c>
      <c r="V57" s="4">
        <v>0.26129629629630002</v>
      </c>
      <c r="W57" s="3">
        <v>46283</v>
      </c>
      <c r="X57" t="s">
        <v>2</v>
      </c>
      <c r="Y57" t="s">
        <v>0</v>
      </c>
      <c r="Z57" s="3"/>
      <c r="AA57" s="4">
        <v>0</v>
      </c>
      <c r="AB57" s="3">
        <v>46284</v>
      </c>
      <c r="AC57" s="3">
        <v>46282</v>
      </c>
      <c r="AD57" t="s">
        <v>0</v>
      </c>
    </row>
    <row r="58" spans="1:30" hidden="1" x14ac:dyDescent="0.2">
      <c r="A58" t="s">
        <v>1</v>
      </c>
      <c r="B58" t="s">
        <v>3</v>
      </c>
      <c r="C58" t="s">
        <v>4</v>
      </c>
      <c r="D58" t="s">
        <v>343</v>
      </c>
      <c r="E58" t="s">
        <v>344</v>
      </c>
      <c r="F58" t="s">
        <v>0</v>
      </c>
      <c r="G58" t="s">
        <v>72</v>
      </c>
      <c r="H58" t="s">
        <v>73</v>
      </c>
      <c r="I58" s="2">
        <v>200</v>
      </c>
      <c r="J58" s="2">
        <v>200</v>
      </c>
      <c r="K58" s="2">
        <f t="shared" si="0"/>
        <v>0</v>
      </c>
      <c r="L58" s="2">
        <f t="shared" ca="1" si="1"/>
        <v>12</v>
      </c>
      <c r="M58" s="2" t="s">
        <v>1083</v>
      </c>
      <c r="N58" t="s">
        <v>89</v>
      </c>
      <c r="O58" s="3">
        <v>46279</v>
      </c>
      <c r="P58" s="3">
        <v>46282</v>
      </c>
      <c r="Q58" s="3">
        <v>46282</v>
      </c>
      <c r="R58" s="3">
        <v>46282</v>
      </c>
      <c r="S58" t="s">
        <v>345</v>
      </c>
      <c r="T58" t="s">
        <v>346</v>
      </c>
      <c r="U58" s="3">
        <v>46283</v>
      </c>
      <c r="V58" s="4">
        <v>0.58766203703704001</v>
      </c>
      <c r="W58" s="3">
        <v>46283</v>
      </c>
      <c r="X58" t="s">
        <v>2</v>
      </c>
      <c r="Y58" t="s">
        <v>0</v>
      </c>
      <c r="Z58" s="3"/>
      <c r="AA58" s="4">
        <v>0</v>
      </c>
      <c r="AB58" s="3">
        <v>46283</v>
      </c>
      <c r="AC58" s="3">
        <v>46282</v>
      </c>
      <c r="AD58" t="s">
        <v>0</v>
      </c>
    </row>
    <row r="59" spans="1:30" hidden="1" x14ac:dyDescent="0.2">
      <c r="A59" t="s">
        <v>1</v>
      </c>
      <c r="B59" t="s">
        <v>3</v>
      </c>
      <c r="C59" t="s">
        <v>4</v>
      </c>
      <c r="D59" t="s">
        <v>347</v>
      </c>
      <c r="E59" t="s">
        <v>348</v>
      </c>
      <c r="F59" t="s">
        <v>0</v>
      </c>
      <c r="G59" t="s">
        <v>38</v>
      </c>
      <c r="H59" t="s">
        <v>39</v>
      </c>
      <c r="I59" s="2">
        <v>500</v>
      </c>
      <c r="J59" s="2">
        <v>330</v>
      </c>
      <c r="K59" s="2">
        <f t="shared" si="0"/>
        <v>170</v>
      </c>
      <c r="L59" s="2">
        <f t="shared" ca="1" si="1"/>
        <v>15</v>
      </c>
      <c r="M59" s="2" t="s">
        <v>1083</v>
      </c>
      <c r="N59" t="s">
        <v>167</v>
      </c>
      <c r="O59" s="3">
        <v>46279</v>
      </c>
      <c r="P59" s="3">
        <v>46279</v>
      </c>
      <c r="Q59" s="3">
        <v>46279</v>
      </c>
      <c r="R59" s="3">
        <v>46279</v>
      </c>
      <c r="S59" t="s">
        <v>349</v>
      </c>
      <c r="T59" t="s">
        <v>350</v>
      </c>
      <c r="U59" s="3">
        <v>46282</v>
      </c>
      <c r="V59" s="4">
        <v>0.36895833333333</v>
      </c>
      <c r="W59" s="3">
        <v>46282</v>
      </c>
      <c r="X59" t="s">
        <v>2</v>
      </c>
      <c r="Y59" t="s">
        <v>0</v>
      </c>
      <c r="Z59" s="3"/>
      <c r="AA59" s="4">
        <v>0</v>
      </c>
      <c r="AB59" s="3">
        <v>46282</v>
      </c>
      <c r="AC59" s="3">
        <v>46279</v>
      </c>
      <c r="AD59" t="s">
        <v>0</v>
      </c>
    </row>
    <row r="60" spans="1:30" hidden="1" x14ac:dyDescent="0.2">
      <c r="A60" t="s">
        <v>1</v>
      </c>
      <c r="B60" t="s">
        <v>5</v>
      </c>
      <c r="C60" t="s">
        <v>4</v>
      </c>
      <c r="D60" t="s">
        <v>351</v>
      </c>
      <c r="E60" t="s">
        <v>352</v>
      </c>
      <c r="F60" t="s">
        <v>0</v>
      </c>
      <c r="G60" t="s">
        <v>36</v>
      </c>
      <c r="H60" t="s">
        <v>37</v>
      </c>
      <c r="I60" s="2">
        <v>500</v>
      </c>
      <c r="J60" s="2">
        <v>326</v>
      </c>
      <c r="K60" s="2">
        <f t="shared" si="0"/>
        <v>174</v>
      </c>
      <c r="L60" s="2">
        <f t="shared" ca="1" si="1"/>
        <v>15</v>
      </c>
      <c r="M60" s="2" t="s">
        <v>1083</v>
      </c>
      <c r="N60" t="s">
        <v>167</v>
      </c>
      <c r="O60" s="3">
        <v>46279</v>
      </c>
      <c r="P60" s="3">
        <v>46279</v>
      </c>
      <c r="Q60" s="3">
        <v>46279</v>
      </c>
      <c r="R60" s="3">
        <v>46279</v>
      </c>
      <c r="S60" t="s">
        <v>353</v>
      </c>
      <c r="T60" t="s">
        <v>354</v>
      </c>
      <c r="U60" s="3">
        <v>46282</v>
      </c>
      <c r="V60" s="4">
        <v>0.39638888888889001</v>
      </c>
      <c r="W60" s="3">
        <v>46282</v>
      </c>
      <c r="X60" t="s">
        <v>2</v>
      </c>
      <c r="Y60" t="s">
        <v>0</v>
      </c>
      <c r="Z60" s="3"/>
      <c r="AA60" s="4">
        <v>0</v>
      </c>
      <c r="AB60" s="3">
        <v>46282</v>
      </c>
      <c r="AC60" s="3">
        <v>46279</v>
      </c>
      <c r="AD60" t="s">
        <v>0</v>
      </c>
    </row>
    <row r="61" spans="1:30" hidden="1" x14ac:dyDescent="0.2">
      <c r="A61" t="s">
        <v>1</v>
      </c>
      <c r="B61" t="s">
        <v>3</v>
      </c>
      <c r="C61" t="s">
        <v>4</v>
      </c>
      <c r="D61" t="s">
        <v>355</v>
      </c>
      <c r="E61" t="s">
        <v>356</v>
      </c>
      <c r="F61" t="s">
        <v>0</v>
      </c>
      <c r="G61" t="s">
        <v>56</v>
      </c>
      <c r="H61" t="s">
        <v>57</v>
      </c>
      <c r="I61" s="2">
        <v>500</v>
      </c>
      <c r="J61" s="2">
        <v>500</v>
      </c>
      <c r="K61" s="2">
        <f t="shared" si="0"/>
        <v>0</v>
      </c>
      <c r="L61" s="2">
        <f t="shared" ca="1" si="1"/>
        <v>13</v>
      </c>
      <c r="M61" s="2" t="s">
        <v>1083</v>
      </c>
      <c r="N61" t="s">
        <v>89</v>
      </c>
      <c r="O61" s="3">
        <v>46281</v>
      </c>
      <c r="P61" s="3">
        <v>46281</v>
      </c>
      <c r="Q61" s="3">
        <v>46281</v>
      </c>
      <c r="R61" s="3">
        <v>46281</v>
      </c>
      <c r="S61" t="s">
        <v>357</v>
      </c>
      <c r="T61" t="s">
        <v>358</v>
      </c>
      <c r="U61" s="3">
        <v>46283</v>
      </c>
      <c r="V61" s="4">
        <v>0.71962962962962995</v>
      </c>
      <c r="W61" s="3">
        <v>46283</v>
      </c>
      <c r="X61" t="s">
        <v>2</v>
      </c>
      <c r="Y61" t="s">
        <v>0</v>
      </c>
      <c r="Z61" s="3"/>
      <c r="AA61" s="4">
        <v>0</v>
      </c>
      <c r="AB61" s="3">
        <v>46283</v>
      </c>
      <c r="AC61" s="3">
        <v>46281</v>
      </c>
      <c r="AD61" t="s">
        <v>0</v>
      </c>
    </row>
    <row r="62" spans="1:30" hidden="1" x14ac:dyDescent="0.2">
      <c r="A62" t="s">
        <v>1</v>
      </c>
      <c r="B62" t="s">
        <v>3</v>
      </c>
      <c r="C62" t="s">
        <v>4</v>
      </c>
      <c r="D62" t="s">
        <v>359</v>
      </c>
      <c r="E62" t="s">
        <v>360</v>
      </c>
      <c r="F62" t="s">
        <v>0</v>
      </c>
      <c r="G62" t="s">
        <v>56</v>
      </c>
      <c r="H62" t="s">
        <v>57</v>
      </c>
      <c r="I62" s="2">
        <v>500</v>
      </c>
      <c r="J62" s="2">
        <v>500</v>
      </c>
      <c r="K62" s="2">
        <f t="shared" si="0"/>
        <v>0</v>
      </c>
      <c r="L62" s="2">
        <f t="shared" ca="1" si="1"/>
        <v>13</v>
      </c>
      <c r="M62" s="2" t="s">
        <v>1083</v>
      </c>
      <c r="N62" t="s">
        <v>89</v>
      </c>
      <c r="O62" s="3">
        <v>46281</v>
      </c>
      <c r="P62" s="3">
        <v>46281</v>
      </c>
      <c r="Q62" s="3">
        <v>46281</v>
      </c>
      <c r="R62" s="3">
        <v>46281</v>
      </c>
      <c r="S62" t="s">
        <v>361</v>
      </c>
      <c r="T62" t="s">
        <v>362</v>
      </c>
      <c r="U62" s="3">
        <v>46284</v>
      </c>
      <c r="V62" s="4">
        <v>0.53221064814815</v>
      </c>
      <c r="W62" s="3">
        <v>46284</v>
      </c>
      <c r="X62" t="s">
        <v>67</v>
      </c>
      <c r="Y62" t="s">
        <v>0</v>
      </c>
      <c r="Z62" s="3"/>
      <c r="AA62" s="4">
        <v>0</v>
      </c>
      <c r="AB62" s="3">
        <v>46284</v>
      </c>
      <c r="AC62" s="3">
        <v>46281</v>
      </c>
      <c r="AD62" t="s">
        <v>0</v>
      </c>
    </row>
    <row r="63" spans="1:30" hidden="1" x14ac:dyDescent="0.2">
      <c r="A63" t="s">
        <v>1</v>
      </c>
      <c r="B63" t="s">
        <v>3</v>
      </c>
      <c r="C63" t="s">
        <v>4</v>
      </c>
      <c r="D63" t="s">
        <v>363</v>
      </c>
      <c r="E63" t="s">
        <v>364</v>
      </c>
      <c r="F63" t="s">
        <v>0</v>
      </c>
      <c r="G63" t="s">
        <v>56</v>
      </c>
      <c r="H63" t="s">
        <v>57</v>
      </c>
      <c r="I63" s="2">
        <v>500</v>
      </c>
      <c r="J63" s="2">
        <v>500</v>
      </c>
      <c r="K63" s="2">
        <f t="shared" si="0"/>
        <v>0</v>
      </c>
      <c r="L63" s="2">
        <f t="shared" ca="1" si="1"/>
        <v>13</v>
      </c>
      <c r="M63" s="2" t="s">
        <v>1083</v>
      </c>
      <c r="N63" t="s">
        <v>89</v>
      </c>
      <c r="O63" s="3">
        <v>46281</v>
      </c>
      <c r="P63" s="3">
        <v>46281</v>
      </c>
      <c r="Q63" s="3">
        <v>46281</v>
      </c>
      <c r="R63" s="3">
        <v>46281</v>
      </c>
      <c r="S63" t="s">
        <v>365</v>
      </c>
      <c r="T63" t="s">
        <v>366</v>
      </c>
      <c r="U63" s="3">
        <v>46284</v>
      </c>
      <c r="V63" s="4">
        <v>0.53909722222222001</v>
      </c>
      <c r="W63" s="3">
        <v>46284</v>
      </c>
      <c r="X63" t="s">
        <v>67</v>
      </c>
      <c r="Y63" t="s">
        <v>0</v>
      </c>
      <c r="Z63" s="3"/>
      <c r="AA63" s="4">
        <v>0</v>
      </c>
      <c r="AB63" s="3">
        <v>46284</v>
      </c>
      <c r="AC63" s="3">
        <v>46281</v>
      </c>
      <c r="AD63" t="s">
        <v>0</v>
      </c>
    </row>
    <row r="64" spans="1:30" hidden="1" x14ac:dyDescent="0.2">
      <c r="A64" t="s">
        <v>1</v>
      </c>
      <c r="B64" t="s">
        <v>3</v>
      </c>
      <c r="C64" t="s">
        <v>4</v>
      </c>
      <c r="D64" t="s">
        <v>367</v>
      </c>
      <c r="E64" t="s">
        <v>368</v>
      </c>
      <c r="F64" t="s">
        <v>0</v>
      </c>
      <c r="G64" t="s">
        <v>56</v>
      </c>
      <c r="H64" t="s">
        <v>57</v>
      </c>
      <c r="I64" s="2">
        <v>500</v>
      </c>
      <c r="J64" s="2">
        <v>500</v>
      </c>
      <c r="K64" s="2">
        <f t="shared" si="0"/>
        <v>0</v>
      </c>
      <c r="L64" s="2">
        <f t="shared" ca="1" si="1"/>
        <v>13</v>
      </c>
      <c r="M64" s="2" t="s">
        <v>1083</v>
      </c>
      <c r="N64" t="s">
        <v>89</v>
      </c>
      <c r="O64" s="3">
        <v>46281</v>
      </c>
      <c r="P64" s="3">
        <v>46281</v>
      </c>
      <c r="Q64" s="3">
        <v>46281</v>
      </c>
      <c r="R64" s="3">
        <v>46281</v>
      </c>
      <c r="S64" t="s">
        <v>369</v>
      </c>
      <c r="T64" t="s">
        <v>370</v>
      </c>
      <c r="U64" s="3">
        <v>46284</v>
      </c>
      <c r="V64" s="4">
        <v>0.72986111111110996</v>
      </c>
      <c r="W64" s="3">
        <v>46284</v>
      </c>
      <c r="X64" t="s">
        <v>2</v>
      </c>
      <c r="Y64" t="s">
        <v>0</v>
      </c>
      <c r="Z64" s="3"/>
      <c r="AA64" s="4">
        <v>0</v>
      </c>
      <c r="AB64" s="3">
        <v>46284</v>
      </c>
      <c r="AC64" s="3">
        <v>46281</v>
      </c>
      <c r="AD64" t="s">
        <v>0</v>
      </c>
    </row>
    <row r="65" spans="1:30" hidden="1" x14ac:dyDescent="0.2">
      <c r="A65" t="s">
        <v>1</v>
      </c>
      <c r="B65" t="s">
        <v>3</v>
      </c>
      <c r="C65" t="s">
        <v>4</v>
      </c>
      <c r="D65" t="s">
        <v>371</v>
      </c>
      <c r="E65" t="s">
        <v>372</v>
      </c>
      <c r="F65" t="s">
        <v>0</v>
      </c>
      <c r="G65" t="s">
        <v>56</v>
      </c>
      <c r="H65" t="s">
        <v>57</v>
      </c>
      <c r="I65" s="2">
        <v>400</v>
      </c>
      <c r="J65" s="2">
        <v>398</v>
      </c>
      <c r="K65" s="2">
        <f t="shared" si="0"/>
        <v>2</v>
      </c>
      <c r="L65" s="2">
        <f t="shared" ca="1" si="1"/>
        <v>13</v>
      </c>
      <c r="M65" s="2" t="s">
        <v>1083</v>
      </c>
      <c r="N65" t="s">
        <v>167</v>
      </c>
      <c r="O65" s="3">
        <v>46281</v>
      </c>
      <c r="P65" s="3">
        <v>46281</v>
      </c>
      <c r="Q65" s="3">
        <v>46281</v>
      </c>
      <c r="R65" s="3">
        <v>46281</v>
      </c>
      <c r="S65" t="s">
        <v>373</v>
      </c>
      <c r="T65" t="s">
        <v>374</v>
      </c>
      <c r="U65" s="3">
        <v>46287</v>
      </c>
      <c r="V65" s="4">
        <v>0.80644675925926002</v>
      </c>
      <c r="W65" s="3">
        <v>46287</v>
      </c>
      <c r="X65" t="s">
        <v>2</v>
      </c>
      <c r="Y65" t="s">
        <v>0</v>
      </c>
      <c r="Z65" s="3"/>
      <c r="AA65" s="4">
        <v>0</v>
      </c>
      <c r="AB65" s="3">
        <v>46287</v>
      </c>
      <c r="AC65" s="3">
        <v>46281</v>
      </c>
      <c r="AD65" t="s">
        <v>0</v>
      </c>
    </row>
    <row r="66" spans="1:30" hidden="1" x14ac:dyDescent="0.2">
      <c r="A66" t="s">
        <v>1</v>
      </c>
      <c r="B66" t="s">
        <v>10</v>
      </c>
      <c r="C66" t="s">
        <v>23</v>
      </c>
      <c r="D66" t="s">
        <v>375</v>
      </c>
      <c r="E66" t="s">
        <v>376</v>
      </c>
      <c r="F66" t="s">
        <v>0</v>
      </c>
      <c r="G66" t="s">
        <v>170</v>
      </c>
      <c r="H66" t="s">
        <v>74</v>
      </c>
      <c r="I66" s="2">
        <v>30</v>
      </c>
      <c r="J66" s="2">
        <v>30</v>
      </c>
      <c r="K66" s="2">
        <f t="shared" si="0"/>
        <v>0</v>
      </c>
      <c r="L66" s="2">
        <f t="shared" ca="1" si="1"/>
        <v>13</v>
      </c>
      <c r="M66" s="2" t="s">
        <v>1083</v>
      </c>
      <c r="N66" t="s">
        <v>377</v>
      </c>
      <c r="O66" s="3">
        <v>46281</v>
      </c>
      <c r="P66" s="3">
        <v>46281</v>
      </c>
      <c r="Q66" s="3">
        <v>46281</v>
      </c>
      <c r="R66" s="3">
        <v>46281</v>
      </c>
      <c r="S66" t="s">
        <v>378</v>
      </c>
      <c r="T66" t="s">
        <v>379</v>
      </c>
      <c r="U66" s="3">
        <v>46293</v>
      </c>
      <c r="V66" s="4">
        <v>0.42431712962962997</v>
      </c>
      <c r="W66" s="3">
        <v>46281</v>
      </c>
      <c r="X66" t="s">
        <v>2</v>
      </c>
      <c r="Y66" t="s">
        <v>11</v>
      </c>
      <c r="Z66" s="3"/>
      <c r="AA66" s="4">
        <v>0</v>
      </c>
      <c r="AB66" s="3">
        <v>46293</v>
      </c>
      <c r="AC66" s="3">
        <v>46281</v>
      </c>
      <c r="AD66" t="s">
        <v>0</v>
      </c>
    </row>
    <row r="67" spans="1:30" hidden="1" x14ac:dyDescent="0.2">
      <c r="A67" t="s">
        <v>1</v>
      </c>
      <c r="B67" t="s">
        <v>10</v>
      </c>
      <c r="C67" t="s">
        <v>23</v>
      </c>
      <c r="D67" t="s">
        <v>382</v>
      </c>
      <c r="E67" t="s">
        <v>383</v>
      </c>
      <c r="F67" t="s">
        <v>0</v>
      </c>
      <c r="G67" t="s">
        <v>93</v>
      </c>
      <c r="H67" t="s">
        <v>94</v>
      </c>
      <c r="I67" s="2">
        <v>18</v>
      </c>
      <c r="J67" s="2">
        <v>18</v>
      </c>
      <c r="K67" s="2">
        <f t="shared" ref="K67:K130" si="2">I67-J67</f>
        <v>0</v>
      </c>
      <c r="L67" s="2">
        <f t="shared" ref="L67:L130" ca="1" si="3">TODAY()-P67</f>
        <v>11</v>
      </c>
      <c r="M67" s="2" t="s">
        <v>1083</v>
      </c>
      <c r="N67" t="s">
        <v>384</v>
      </c>
      <c r="O67" s="3">
        <v>46283</v>
      </c>
      <c r="P67" s="3">
        <v>46283</v>
      </c>
      <c r="Q67" s="3">
        <v>46283</v>
      </c>
      <c r="R67" s="3">
        <v>46283</v>
      </c>
      <c r="S67" t="s">
        <v>385</v>
      </c>
      <c r="T67" t="s">
        <v>386</v>
      </c>
      <c r="U67" s="3">
        <v>46291</v>
      </c>
      <c r="V67" s="4">
        <v>0.52497685185184995</v>
      </c>
      <c r="W67" s="3">
        <v>46283</v>
      </c>
      <c r="X67" t="s">
        <v>2</v>
      </c>
      <c r="Y67" t="s">
        <v>11</v>
      </c>
      <c r="Z67" s="3">
        <v>46291</v>
      </c>
      <c r="AA67" s="4">
        <v>0.52497685185184995</v>
      </c>
      <c r="AB67" s="3">
        <v>46291</v>
      </c>
      <c r="AC67" s="3">
        <v>46283</v>
      </c>
      <c r="AD67" t="s">
        <v>0</v>
      </c>
    </row>
    <row r="68" spans="1:30" hidden="1" x14ac:dyDescent="0.2">
      <c r="A68" t="s">
        <v>1</v>
      </c>
      <c r="B68" t="s">
        <v>3</v>
      </c>
      <c r="C68" t="s">
        <v>4</v>
      </c>
      <c r="D68" t="s">
        <v>387</v>
      </c>
      <c r="E68" t="s">
        <v>388</v>
      </c>
      <c r="F68" t="s">
        <v>0</v>
      </c>
      <c r="G68" t="s">
        <v>45</v>
      </c>
      <c r="H68" t="s">
        <v>46</v>
      </c>
      <c r="I68" s="2">
        <v>500</v>
      </c>
      <c r="J68" s="2">
        <v>500</v>
      </c>
      <c r="K68" s="2">
        <f t="shared" si="2"/>
        <v>0</v>
      </c>
      <c r="L68" s="2">
        <f t="shared" ca="1" si="3"/>
        <v>11</v>
      </c>
      <c r="M68" s="2" t="s">
        <v>1083</v>
      </c>
      <c r="N68" t="s">
        <v>89</v>
      </c>
      <c r="O68" s="3">
        <v>46283</v>
      </c>
      <c r="P68" s="3">
        <v>46283</v>
      </c>
      <c r="Q68" s="3">
        <v>46283</v>
      </c>
      <c r="R68" s="3">
        <v>46283</v>
      </c>
      <c r="S68" t="s">
        <v>389</v>
      </c>
      <c r="T68" t="s">
        <v>390</v>
      </c>
      <c r="U68" s="3">
        <v>46286</v>
      </c>
      <c r="V68" s="4">
        <v>0.44203703703704</v>
      </c>
      <c r="W68" s="3">
        <v>46284</v>
      </c>
      <c r="X68" t="s">
        <v>67</v>
      </c>
      <c r="Y68" t="s">
        <v>0</v>
      </c>
      <c r="Z68" s="3"/>
      <c r="AA68" s="4">
        <v>0</v>
      </c>
      <c r="AB68" s="3">
        <v>46286</v>
      </c>
      <c r="AC68" s="3">
        <v>46283</v>
      </c>
      <c r="AD68" t="s">
        <v>0</v>
      </c>
    </row>
    <row r="69" spans="1:30" hidden="1" x14ac:dyDescent="0.2">
      <c r="A69" t="s">
        <v>1</v>
      </c>
      <c r="B69" t="s">
        <v>5</v>
      </c>
      <c r="C69" t="s">
        <v>4</v>
      </c>
      <c r="D69" t="s">
        <v>391</v>
      </c>
      <c r="E69" t="s">
        <v>392</v>
      </c>
      <c r="F69" t="s">
        <v>0</v>
      </c>
      <c r="G69" t="s">
        <v>47</v>
      </c>
      <c r="H69" t="s">
        <v>48</v>
      </c>
      <c r="I69" s="2">
        <v>500</v>
      </c>
      <c r="J69" s="2">
        <v>498</v>
      </c>
      <c r="K69" s="2">
        <f t="shared" si="2"/>
        <v>2</v>
      </c>
      <c r="L69" s="2">
        <f t="shared" ca="1" si="3"/>
        <v>11</v>
      </c>
      <c r="M69" s="2" t="s">
        <v>1083</v>
      </c>
      <c r="N69" t="s">
        <v>167</v>
      </c>
      <c r="O69" s="3">
        <v>46283</v>
      </c>
      <c r="P69" s="3">
        <v>46283</v>
      </c>
      <c r="Q69" s="3">
        <v>46283</v>
      </c>
      <c r="R69" s="3">
        <v>46283</v>
      </c>
      <c r="S69" t="s">
        <v>393</v>
      </c>
      <c r="T69" t="s">
        <v>394</v>
      </c>
      <c r="U69" s="3">
        <v>46286</v>
      </c>
      <c r="V69" s="4">
        <v>0.32346064814815001</v>
      </c>
      <c r="W69" s="3">
        <v>46283</v>
      </c>
      <c r="X69" t="s">
        <v>2</v>
      </c>
      <c r="Y69" t="s">
        <v>0</v>
      </c>
      <c r="Z69" s="3"/>
      <c r="AA69" s="4">
        <v>0</v>
      </c>
      <c r="AB69" s="3">
        <v>46286</v>
      </c>
      <c r="AC69" s="3">
        <v>46283</v>
      </c>
      <c r="AD69" t="s">
        <v>0</v>
      </c>
    </row>
    <row r="70" spans="1:30" hidden="1" x14ac:dyDescent="0.2">
      <c r="A70" t="s">
        <v>1</v>
      </c>
      <c r="B70" t="s">
        <v>3</v>
      </c>
      <c r="C70" t="s">
        <v>4</v>
      </c>
      <c r="D70" t="s">
        <v>395</v>
      </c>
      <c r="E70" t="s">
        <v>396</v>
      </c>
      <c r="F70" t="s">
        <v>0</v>
      </c>
      <c r="G70" t="s">
        <v>45</v>
      </c>
      <c r="H70" t="s">
        <v>46</v>
      </c>
      <c r="I70" s="2">
        <v>500</v>
      </c>
      <c r="J70" s="2">
        <v>500</v>
      </c>
      <c r="K70" s="2">
        <f t="shared" si="2"/>
        <v>0</v>
      </c>
      <c r="L70" s="2">
        <f t="shared" ca="1" si="3"/>
        <v>11</v>
      </c>
      <c r="M70" s="2" t="s">
        <v>1083</v>
      </c>
      <c r="N70" t="s">
        <v>89</v>
      </c>
      <c r="O70" s="3">
        <v>46283</v>
      </c>
      <c r="P70" s="3">
        <v>46283</v>
      </c>
      <c r="Q70" s="3">
        <v>46283</v>
      </c>
      <c r="R70" s="3">
        <v>46283</v>
      </c>
      <c r="S70" t="s">
        <v>397</v>
      </c>
      <c r="T70" t="s">
        <v>398</v>
      </c>
      <c r="U70" s="3">
        <v>46286</v>
      </c>
      <c r="V70" s="4">
        <v>0.76812499999999995</v>
      </c>
      <c r="W70" s="3">
        <v>46286</v>
      </c>
      <c r="X70" t="s">
        <v>2</v>
      </c>
      <c r="Y70" t="s">
        <v>0</v>
      </c>
      <c r="Z70" s="3"/>
      <c r="AA70" s="4">
        <v>0</v>
      </c>
      <c r="AB70" s="3">
        <v>46286</v>
      </c>
      <c r="AC70" s="3">
        <v>46283</v>
      </c>
      <c r="AD70" t="s">
        <v>0</v>
      </c>
    </row>
    <row r="71" spans="1:30" hidden="1" x14ac:dyDescent="0.2">
      <c r="A71" t="s">
        <v>1</v>
      </c>
      <c r="B71" t="s">
        <v>5</v>
      </c>
      <c r="C71" t="s">
        <v>4</v>
      </c>
      <c r="D71" t="s">
        <v>399</v>
      </c>
      <c r="E71" t="s">
        <v>400</v>
      </c>
      <c r="F71" t="s">
        <v>0</v>
      </c>
      <c r="G71" t="s">
        <v>47</v>
      </c>
      <c r="H71" t="s">
        <v>48</v>
      </c>
      <c r="I71" s="2">
        <v>500</v>
      </c>
      <c r="J71" s="2">
        <v>494</v>
      </c>
      <c r="K71" s="2">
        <f t="shared" si="2"/>
        <v>6</v>
      </c>
      <c r="L71" s="2">
        <f t="shared" ca="1" si="3"/>
        <v>11</v>
      </c>
      <c r="M71" s="2" t="s">
        <v>1083</v>
      </c>
      <c r="N71" t="s">
        <v>167</v>
      </c>
      <c r="O71" s="3">
        <v>46283</v>
      </c>
      <c r="P71" s="3">
        <v>46283</v>
      </c>
      <c r="Q71" s="3">
        <v>46283</v>
      </c>
      <c r="R71" s="3">
        <v>46283</v>
      </c>
      <c r="S71" t="s">
        <v>401</v>
      </c>
      <c r="T71" t="s">
        <v>402</v>
      </c>
      <c r="U71" s="3">
        <v>46286</v>
      </c>
      <c r="V71" s="4">
        <v>0.69499999999999995</v>
      </c>
      <c r="W71" s="3">
        <v>46283</v>
      </c>
      <c r="X71" t="s">
        <v>2</v>
      </c>
      <c r="Y71" t="s">
        <v>0</v>
      </c>
      <c r="Z71" s="3"/>
      <c r="AA71" s="4">
        <v>0</v>
      </c>
      <c r="AB71" s="3">
        <v>46286</v>
      </c>
      <c r="AC71" s="3">
        <v>46283</v>
      </c>
      <c r="AD71" t="s">
        <v>0</v>
      </c>
    </row>
    <row r="72" spans="1:30" hidden="1" x14ac:dyDescent="0.2">
      <c r="A72" t="s">
        <v>1</v>
      </c>
      <c r="B72" t="s">
        <v>3</v>
      </c>
      <c r="C72" t="s">
        <v>4</v>
      </c>
      <c r="D72" t="s">
        <v>403</v>
      </c>
      <c r="E72" t="s">
        <v>404</v>
      </c>
      <c r="F72" t="s">
        <v>0</v>
      </c>
      <c r="G72" t="s">
        <v>58</v>
      </c>
      <c r="H72" t="s">
        <v>59</v>
      </c>
      <c r="I72" s="2">
        <v>500</v>
      </c>
      <c r="J72" s="2">
        <v>495</v>
      </c>
      <c r="K72" s="2">
        <f t="shared" si="2"/>
        <v>5</v>
      </c>
      <c r="L72" s="2">
        <f t="shared" ca="1" si="3"/>
        <v>11</v>
      </c>
      <c r="M72" s="2" t="s">
        <v>1083</v>
      </c>
      <c r="N72" t="s">
        <v>167</v>
      </c>
      <c r="O72" s="3">
        <v>46283</v>
      </c>
      <c r="P72" s="3">
        <v>46283</v>
      </c>
      <c r="Q72" s="3">
        <v>46283</v>
      </c>
      <c r="R72" s="3">
        <v>46283</v>
      </c>
      <c r="S72" t="s">
        <v>405</v>
      </c>
      <c r="T72" t="s">
        <v>406</v>
      </c>
      <c r="U72" s="3">
        <v>46286</v>
      </c>
      <c r="V72" s="4">
        <v>0.76131944444444</v>
      </c>
      <c r="W72" s="3">
        <v>46286</v>
      </c>
      <c r="X72" t="s">
        <v>2</v>
      </c>
      <c r="Y72" t="s">
        <v>0</v>
      </c>
      <c r="Z72" s="3"/>
      <c r="AA72" s="4">
        <v>0</v>
      </c>
      <c r="AB72" s="3">
        <v>46286</v>
      </c>
      <c r="AC72" s="3">
        <v>46283</v>
      </c>
      <c r="AD72" t="s">
        <v>0</v>
      </c>
    </row>
    <row r="73" spans="1:30" hidden="1" x14ac:dyDescent="0.2">
      <c r="A73" t="s">
        <v>1</v>
      </c>
      <c r="B73" t="s">
        <v>3</v>
      </c>
      <c r="C73" t="s">
        <v>4</v>
      </c>
      <c r="D73" t="s">
        <v>407</v>
      </c>
      <c r="E73" t="s">
        <v>408</v>
      </c>
      <c r="F73" t="s">
        <v>0</v>
      </c>
      <c r="G73" t="s">
        <v>58</v>
      </c>
      <c r="H73" t="s">
        <v>59</v>
      </c>
      <c r="I73" s="2">
        <v>500</v>
      </c>
      <c r="J73" s="2">
        <v>497</v>
      </c>
      <c r="K73" s="2">
        <f t="shared" si="2"/>
        <v>3</v>
      </c>
      <c r="L73" s="2">
        <f t="shared" ca="1" si="3"/>
        <v>7</v>
      </c>
      <c r="M73" s="2" t="s">
        <v>1082</v>
      </c>
      <c r="N73" t="s">
        <v>167</v>
      </c>
      <c r="O73" s="3">
        <v>46283</v>
      </c>
      <c r="P73" s="3">
        <v>46287</v>
      </c>
      <c r="Q73" s="3">
        <v>46287</v>
      </c>
      <c r="R73" s="3">
        <v>46287</v>
      </c>
      <c r="S73" t="s">
        <v>409</v>
      </c>
      <c r="T73" t="s">
        <v>410</v>
      </c>
      <c r="U73" s="3">
        <v>46287</v>
      </c>
      <c r="V73" s="4">
        <v>0.44177083333333</v>
      </c>
      <c r="W73" s="3">
        <v>46287</v>
      </c>
      <c r="X73" t="s">
        <v>2</v>
      </c>
      <c r="Y73" t="s">
        <v>0</v>
      </c>
      <c r="Z73" s="3"/>
      <c r="AA73" s="4">
        <v>0</v>
      </c>
      <c r="AB73" s="3">
        <v>46287</v>
      </c>
      <c r="AC73" s="3">
        <v>46287</v>
      </c>
      <c r="AD73" t="s">
        <v>0</v>
      </c>
    </row>
    <row r="74" spans="1:30" hidden="1" x14ac:dyDescent="0.2">
      <c r="A74" t="s">
        <v>1</v>
      </c>
      <c r="B74" t="s">
        <v>3</v>
      </c>
      <c r="C74" t="s">
        <v>4</v>
      </c>
      <c r="D74" t="s">
        <v>411</v>
      </c>
      <c r="E74" t="s">
        <v>412</v>
      </c>
      <c r="F74" t="s">
        <v>0</v>
      </c>
      <c r="G74" t="s">
        <v>58</v>
      </c>
      <c r="H74" t="s">
        <v>59</v>
      </c>
      <c r="I74" s="2">
        <v>500</v>
      </c>
      <c r="J74" s="2">
        <v>496</v>
      </c>
      <c r="K74" s="2">
        <f t="shared" si="2"/>
        <v>4</v>
      </c>
      <c r="L74" s="2">
        <f t="shared" ca="1" si="3"/>
        <v>7</v>
      </c>
      <c r="M74" s="2" t="s">
        <v>1082</v>
      </c>
      <c r="N74" t="s">
        <v>167</v>
      </c>
      <c r="O74" s="3">
        <v>46283</v>
      </c>
      <c r="P74" s="3">
        <v>46287</v>
      </c>
      <c r="Q74" s="3">
        <v>46287</v>
      </c>
      <c r="R74" s="3">
        <v>46287</v>
      </c>
      <c r="S74" t="s">
        <v>413</v>
      </c>
      <c r="T74" t="s">
        <v>414</v>
      </c>
      <c r="U74" s="3">
        <v>46287</v>
      </c>
      <c r="V74" s="4">
        <v>0.65716435185184996</v>
      </c>
      <c r="W74" s="3">
        <v>46287</v>
      </c>
      <c r="X74" t="s">
        <v>2</v>
      </c>
      <c r="Y74" t="s">
        <v>0</v>
      </c>
      <c r="Z74" s="3"/>
      <c r="AA74" s="4">
        <v>0</v>
      </c>
      <c r="AB74" s="3">
        <v>46287</v>
      </c>
      <c r="AC74" s="3">
        <v>46287</v>
      </c>
      <c r="AD74" t="s">
        <v>0</v>
      </c>
    </row>
    <row r="75" spans="1:30" hidden="1" x14ac:dyDescent="0.2">
      <c r="A75" t="s">
        <v>1</v>
      </c>
      <c r="B75" t="s">
        <v>3</v>
      </c>
      <c r="C75" t="s">
        <v>4</v>
      </c>
      <c r="D75" t="s">
        <v>415</v>
      </c>
      <c r="E75" t="s">
        <v>416</v>
      </c>
      <c r="F75" t="s">
        <v>0</v>
      </c>
      <c r="G75" t="s">
        <v>58</v>
      </c>
      <c r="H75" t="s">
        <v>59</v>
      </c>
      <c r="I75" s="2">
        <v>500</v>
      </c>
      <c r="J75" s="2">
        <v>495</v>
      </c>
      <c r="K75" s="2">
        <f t="shared" si="2"/>
        <v>5</v>
      </c>
      <c r="L75" s="2">
        <f t="shared" ca="1" si="3"/>
        <v>7</v>
      </c>
      <c r="M75" s="2" t="s">
        <v>1082</v>
      </c>
      <c r="N75" t="s">
        <v>167</v>
      </c>
      <c r="O75" s="3">
        <v>46283</v>
      </c>
      <c r="P75" s="3">
        <v>46287</v>
      </c>
      <c r="Q75" s="3">
        <v>46287</v>
      </c>
      <c r="R75" s="3">
        <v>46287</v>
      </c>
      <c r="S75" t="s">
        <v>417</v>
      </c>
      <c r="T75" t="s">
        <v>418</v>
      </c>
      <c r="U75" s="3">
        <v>46287</v>
      </c>
      <c r="V75" s="4">
        <v>0.69540509259258998</v>
      </c>
      <c r="W75" s="3">
        <v>46287</v>
      </c>
      <c r="X75" t="s">
        <v>2</v>
      </c>
      <c r="Y75" t="s">
        <v>0</v>
      </c>
      <c r="Z75" s="3"/>
      <c r="AA75" s="4">
        <v>0</v>
      </c>
      <c r="AB75" s="3">
        <v>46287</v>
      </c>
      <c r="AC75" s="3">
        <v>46287</v>
      </c>
      <c r="AD75" t="s">
        <v>0</v>
      </c>
    </row>
    <row r="76" spans="1:30" hidden="1" x14ac:dyDescent="0.2">
      <c r="A76" t="s">
        <v>1</v>
      </c>
      <c r="B76" t="s">
        <v>3</v>
      </c>
      <c r="C76" t="s">
        <v>4</v>
      </c>
      <c r="D76" t="s">
        <v>419</v>
      </c>
      <c r="E76" t="s">
        <v>420</v>
      </c>
      <c r="F76" t="s">
        <v>0</v>
      </c>
      <c r="G76" t="s">
        <v>58</v>
      </c>
      <c r="H76" t="s">
        <v>59</v>
      </c>
      <c r="I76" s="2">
        <v>500</v>
      </c>
      <c r="J76" s="2">
        <v>498</v>
      </c>
      <c r="K76" s="2">
        <f t="shared" si="2"/>
        <v>2</v>
      </c>
      <c r="L76" s="2">
        <f t="shared" ca="1" si="3"/>
        <v>7</v>
      </c>
      <c r="M76" s="2" t="s">
        <v>1082</v>
      </c>
      <c r="N76" t="s">
        <v>167</v>
      </c>
      <c r="O76" s="3">
        <v>46283</v>
      </c>
      <c r="P76" s="3">
        <v>46287</v>
      </c>
      <c r="Q76" s="3">
        <v>46287</v>
      </c>
      <c r="R76" s="3">
        <v>46287</v>
      </c>
      <c r="S76" t="s">
        <v>421</v>
      </c>
      <c r="T76" t="s">
        <v>422</v>
      </c>
      <c r="U76" s="3">
        <v>46288</v>
      </c>
      <c r="V76" s="4">
        <v>0.57033564814814997</v>
      </c>
      <c r="W76" s="3">
        <v>46288</v>
      </c>
      <c r="X76" t="s">
        <v>2</v>
      </c>
      <c r="Y76" t="s">
        <v>0</v>
      </c>
      <c r="Z76" s="3"/>
      <c r="AA76" s="4">
        <v>0</v>
      </c>
      <c r="AB76" s="3">
        <v>46288</v>
      </c>
      <c r="AC76" s="3">
        <v>46287</v>
      </c>
      <c r="AD76" t="s">
        <v>0</v>
      </c>
    </row>
    <row r="77" spans="1:30" hidden="1" x14ac:dyDescent="0.2">
      <c r="A77" t="s">
        <v>1</v>
      </c>
      <c r="B77" t="s">
        <v>3</v>
      </c>
      <c r="C77" t="s">
        <v>4</v>
      </c>
      <c r="D77" t="s">
        <v>423</v>
      </c>
      <c r="E77" t="s">
        <v>424</v>
      </c>
      <c r="F77" t="s">
        <v>0</v>
      </c>
      <c r="G77" t="s">
        <v>45</v>
      </c>
      <c r="H77" t="s">
        <v>46</v>
      </c>
      <c r="I77" s="2">
        <v>500</v>
      </c>
      <c r="J77" s="2">
        <v>499</v>
      </c>
      <c r="K77" s="2">
        <f t="shared" si="2"/>
        <v>1</v>
      </c>
      <c r="L77" s="2">
        <f t="shared" ca="1" si="3"/>
        <v>11</v>
      </c>
      <c r="M77" s="2" t="s">
        <v>1083</v>
      </c>
      <c r="N77" t="s">
        <v>167</v>
      </c>
      <c r="O77" s="3">
        <v>46283</v>
      </c>
      <c r="P77" s="3">
        <v>46283</v>
      </c>
      <c r="Q77" s="3">
        <v>46283</v>
      </c>
      <c r="R77" s="3">
        <v>46283</v>
      </c>
      <c r="S77" t="s">
        <v>425</v>
      </c>
      <c r="T77" t="s">
        <v>426</v>
      </c>
      <c r="U77" s="3">
        <v>46288</v>
      </c>
      <c r="V77" s="4">
        <v>0.58103009259258998</v>
      </c>
      <c r="W77" s="3">
        <v>46288</v>
      </c>
      <c r="X77" t="s">
        <v>2</v>
      </c>
      <c r="Y77" t="s">
        <v>0</v>
      </c>
      <c r="Z77" s="3"/>
      <c r="AA77" s="4">
        <v>0</v>
      </c>
      <c r="AB77" s="3">
        <v>46288</v>
      </c>
      <c r="AC77" s="3">
        <v>46283</v>
      </c>
      <c r="AD77" t="s">
        <v>0</v>
      </c>
    </row>
    <row r="78" spans="1:30" hidden="1" x14ac:dyDescent="0.2">
      <c r="A78" t="s">
        <v>1</v>
      </c>
      <c r="B78" t="s">
        <v>5</v>
      </c>
      <c r="C78" t="s">
        <v>4</v>
      </c>
      <c r="D78" t="s">
        <v>427</v>
      </c>
      <c r="E78" t="s">
        <v>428</v>
      </c>
      <c r="F78" t="s">
        <v>0</v>
      </c>
      <c r="G78" t="s">
        <v>47</v>
      </c>
      <c r="H78" t="s">
        <v>48</v>
      </c>
      <c r="I78" s="2">
        <v>500</v>
      </c>
      <c r="J78" s="2">
        <v>497</v>
      </c>
      <c r="K78" s="2">
        <f t="shared" si="2"/>
        <v>3</v>
      </c>
      <c r="L78" s="2">
        <f t="shared" ca="1" si="3"/>
        <v>11</v>
      </c>
      <c r="M78" s="2" t="s">
        <v>1083</v>
      </c>
      <c r="N78" t="s">
        <v>167</v>
      </c>
      <c r="O78" s="3">
        <v>46283</v>
      </c>
      <c r="P78" s="3">
        <v>46283</v>
      </c>
      <c r="Q78" s="3">
        <v>46283</v>
      </c>
      <c r="R78" s="3">
        <v>46283</v>
      </c>
      <c r="S78" t="s">
        <v>429</v>
      </c>
      <c r="T78" t="s">
        <v>430</v>
      </c>
      <c r="U78" s="3">
        <v>46288</v>
      </c>
      <c r="V78" s="4">
        <v>0.46238425925926002</v>
      </c>
      <c r="W78" s="3">
        <v>46283</v>
      </c>
      <c r="X78" t="s">
        <v>2</v>
      </c>
      <c r="Y78" t="s">
        <v>0</v>
      </c>
      <c r="Z78" s="3"/>
      <c r="AA78" s="4">
        <v>0</v>
      </c>
      <c r="AB78" s="3">
        <v>46288</v>
      </c>
      <c r="AC78" s="3">
        <v>46283</v>
      </c>
      <c r="AD78" t="s">
        <v>0</v>
      </c>
    </row>
    <row r="79" spans="1:30" hidden="1" x14ac:dyDescent="0.2">
      <c r="A79" t="s">
        <v>1</v>
      </c>
      <c r="B79" t="s">
        <v>3</v>
      </c>
      <c r="C79" t="s">
        <v>4</v>
      </c>
      <c r="D79" t="s">
        <v>431</v>
      </c>
      <c r="E79" t="s">
        <v>432</v>
      </c>
      <c r="F79" t="s">
        <v>0</v>
      </c>
      <c r="G79" t="s">
        <v>45</v>
      </c>
      <c r="H79" t="s">
        <v>46</v>
      </c>
      <c r="I79" s="2">
        <v>500</v>
      </c>
      <c r="J79" s="2">
        <v>498</v>
      </c>
      <c r="K79" s="2">
        <f t="shared" si="2"/>
        <v>2</v>
      </c>
      <c r="L79" s="2">
        <f t="shared" ca="1" si="3"/>
        <v>5</v>
      </c>
      <c r="M79" s="2" t="s">
        <v>1082</v>
      </c>
      <c r="N79" t="s">
        <v>433</v>
      </c>
      <c r="O79" s="3">
        <v>46283</v>
      </c>
      <c r="P79" s="3">
        <v>46289</v>
      </c>
      <c r="Q79" s="3">
        <v>46289</v>
      </c>
      <c r="R79" s="3">
        <v>46289</v>
      </c>
      <c r="S79" t="s">
        <v>434</v>
      </c>
      <c r="T79" t="s">
        <v>435</v>
      </c>
      <c r="U79" s="3">
        <v>46289</v>
      </c>
      <c r="V79" s="4">
        <v>0.54615740740741003</v>
      </c>
      <c r="W79" s="3">
        <v>46289</v>
      </c>
      <c r="X79" t="s">
        <v>2</v>
      </c>
      <c r="Y79" t="s">
        <v>0</v>
      </c>
      <c r="Z79" s="3"/>
      <c r="AA79" s="4">
        <v>0</v>
      </c>
      <c r="AB79" s="3">
        <v>46289</v>
      </c>
      <c r="AC79" s="3">
        <v>46289</v>
      </c>
      <c r="AD79" t="s">
        <v>0</v>
      </c>
    </row>
    <row r="80" spans="1:30" hidden="1" x14ac:dyDescent="0.2">
      <c r="A80" t="s">
        <v>1</v>
      </c>
      <c r="B80" t="s">
        <v>5</v>
      </c>
      <c r="C80" t="s">
        <v>4</v>
      </c>
      <c r="D80" t="s">
        <v>436</v>
      </c>
      <c r="E80" t="s">
        <v>437</v>
      </c>
      <c r="F80" t="s">
        <v>0</v>
      </c>
      <c r="G80" t="s">
        <v>47</v>
      </c>
      <c r="H80" t="s">
        <v>48</v>
      </c>
      <c r="I80" s="2">
        <v>500</v>
      </c>
      <c r="J80" s="2">
        <v>494</v>
      </c>
      <c r="K80" s="2">
        <f t="shared" si="2"/>
        <v>6</v>
      </c>
      <c r="L80" s="2">
        <f t="shared" ca="1" si="3"/>
        <v>11</v>
      </c>
      <c r="M80" s="2" t="s">
        <v>1083</v>
      </c>
      <c r="N80" t="s">
        <v>167</v>
      </c>
      <c r="O80" s="3">
        <v>46283</v>
      </c>
      <c r="P80" s="3">
        <v>46283</v>
      </c>
      <c r="Q80" s="3">
        <v>46283</v>
      </c>
      <c r="R80" s="3">
        <v>46283</v>
      </c>
      <c r="S80" t="s">
        <v>438</v>
      </c>
      <c r="T80" t="s">
        <v>439</v>
      </c>
      <c r="U80" s="3">
        <v>46289</v>
      </c>
      <c r="V80" s="4">
        <v>0.43809027777777998</v>
      </c>
      <c r="W80" s="3">
        <v>46283</v>
      </c>
      <c r="X80" t="s">
        <v>2</v>
      </c>
      <c r="Y80" t="s">
        <v>0</v>
      </c>
      <c r="Z80" s="3"/>
      <c r="AA80" s="4">
        <v>0</v>
      </c>
      <c r="AB80" s="3">
        <v>46289</v>
      </c>
      <c r="AC80" s="3">
        <v>46283</v>
      </c>
      <c r="AD80" t="s">
        <v>0</v>
      </c>
    </row>
    <row r="81" spans="1:30" hidden="1" x14ac:dyDescent="0.2">
      <c r="A81" t="s">
        <v>1</v>
      </c>
      <c r="B81" t="s">
        <v>10</v>
      </c>
      <c r="C81" t="s">
        <v>23</v>
      </c>
      <c r="D81" t="s">
        <v>442</v>
      </c>
      <c r="E81" t="s">
        <v>443</v>
      </c>
      <c r="F81" t="s">
        <v>0</v>
      </c>
      <c r="G81" t="s">
        <v>380</v>
      </c>
      <c r="H81" t="s">
        <v>381</v>
      </c>
      <c r="I81" s="2">
        <v>500</v>
      </c>
      <c r="J81" s="2">
        <v>0</v>
      </c>
      <c r="K81" s="2">
        <f t="shared" si="2"/>
        <v>500</v>
      </c>
      <c r="L81" s="2">
        <f t="shared" ca="1" si="3"/>
        <v>11</v>
      </c>
      <c r="M81" s="2" t="s">
        <v>1083</v>
      </c>
      <c r="N81" t="s">
        <v>62</v>
      </c>
      <c r="O81" s="3">
        <v>46283</v>
      </c>
      <c r="P81" s="3">
        <v>46283</v>
      </c>
      <c r="Q81" s="3">
        <v>46283</v>
      </c>
      <c r="R81" s="3">
        <v>46283</v>
      </c>
      <c r="S81" t="s">
        <v>444</v>
      </c>
      <c r="T81" t="s">
        <v>445</v>
      </c>
      <c r="U81" s="3"/>
      <c r="V81" s="4">
        <v>0</v>
      </c>
      <c r="W81" s="3">
        <v>46283</v>
      </c>
      <c r="X81" t="s">
        <v>2</v>
      </c>
      <c r="Y81" t="s">
        <v>11</v>
      </c>
      <c r="Z81" s="3"/>
      <c r="AA81" s="4">
        <v>0</v>
      </c>
      <c r="AB81" s="3"/>
      <c r="AC81" s="3">
        <v>46283</v>
      </c>
      <c r="AD81" t="s">
        <v>0</v>
      </c>
    </row>
    <row r="82" spans="1:30" hidden="1" x14ac:dyDescent="0.2">
      <c r="A82" t="s">
        <v>1</v>
      </c>
      <c r="B82" t="s">
        <v>10</v>
      </c>
      <c r="C82" t="s">
        <v>23</v>
      </c>
      <c r="D82" t="s">
        <v>446</v>
      </c>
      <c r="E82" t="s">
        <v>447</v>
      </c>
      <c r="F82" t="s">
        <v>0</v>
      </c>
      <c r="G82" t="s">
        <v>448</v>
      </c>
      <c r="H82" t="s">
        <v>381</v>
      </c>
      <c r="I82" s="2">
        <v>500</v>
      </c>
      <c r="J82" s="2">
        <v>500</v>
      </c>
      <c r="K82" s="2">
        <f t="shared" si="2"/>
        <v>0</v>
      </c>
      <c r="L82" s="2">
        <f t="shared" ca="1" si="3"/>
        <v>11</v>
      </c>
      <c r="M82" s="2" t="s">
        <v>1083</v>
      </c>
      <c r="N82" t="s">
        <v>54</v>
      </c>
      <c r="O82" s="3">
        <v>46283</v>
      </c>
      <c r="P82" s="3">
        <v>46283</v>
      </c>
      <c r="Q82" s="3">
        <v>46283</v>
      </c>
      <c r="R82" s="3">
        <v>46283</v>
      </c>
      <c r="S82" t="s">
        <v>449</v>
      </c>
      <c r="T82" t="s">
        <v>450</v>
      </c>
      <c r="U82" s="3">
        <v>46290</v>
      </c>
      <c r="V82" s="4">
        <v>0.88952546296295998</v>
      </c>
      <c r="W82" s="3">
        <v>46283</v>
      </c>
      <c r="X82" t="s">
        <v>2</v>
      </c>
      <c r="Y82" t="s">
        <v>11</v>
      </c>
      <c r="Z82" s="3">
        <v>46290</v>
      </c>
      <c r="AA82" s="4">
        <v>0.88952546296295998</v>
      </c>
      <c r="AB82" s="3">
        <v>46290</v>
      </c>
      <c r="AC82" s="3">
        <v>46283</v>
      </c>
      <c r="AD82" t="s">
        <v>0</v>
      </c>
    </row>
    <row r="83" spans="1:30" hidden="1" x14ac:dyDescent="0.2">
      <c r="A83" t="s">
        <v>1</v>
      </c>
      <c r="B83" t="s">
        <v>10</v>
      </c>
      <c r="C83" t="s">
        <v>23</v>
      </c>
      <c r="D83" t="s">
        <v>451</v>
      </c>
      <c r="E83" t="s">
        <v>452</v>
      </c>
      <c r="F83" t="s">
        <v>0</v>
      </c>
      <c r="G83" t="s">
        <v>448</v>
      </c>
      <c r="H83" t="s">
        <v>381</v>
      </c>
      <c r="I83" s="2">
        <v>500</v>
      </c>
      <c r="J83" s="2">
        <v>500</v>
      </c>
      <c r="K83" s="2">
        <f t="shared" si="2"/>
        <v>0</v>
      </c>
      <c r="L83" s="2">
        <f t="shared" ca="1" si="3"/>
        <v>11</v>
      </c>
      <c r="M83" s="2" t="s">
        <v>1083</v>
      </c>
      <c r="N83" t="s">
        <v>54</v>
      </c>
      <c r="O83" s="3">
        <v>46283</v>
      </c>
      <c r="P83" s="3">
        <v>46283</v>
      </c>
      <c r="Q83" s="3">
        <v>46283</v>
      </c>
      <c r="R83" s="3">
        <v>46283</v>
      </c>
      <c r="S83" t="s">
        <v>453</v>
      </c>
      <c r="T83" t="s">
        <v>454</v>
      </c>
      <c r="U83" s="3">
        <v>46290</v>
      </c>
      <c r="V83" s="4">
        <v>0.83064814814815002</v>
      </c>
      <c r="W83" s="3">
        <v>46283</v>
      </c>
      <c r="X83" t="s">
        <v>2</v>
      </c>
      <c r="Y83" t="s">
        <v>11</v>
      </c>
      <c r="Z83" s="3">
        <v>46290</v>
      </c>
      <c r="AA83" s="4">
        <v>0.83064814814815002</v>
      </c>
      <c r="AB83" s="3">
        <v>46290</v>
      </c>
      <c r="AC83" s="3">
        <v>46283</v>
      </c>
      <c r="AD83" t="s">
        <v>0</v>
      </c>
    </row>
    <row r="84" spans="1:30" hidden="1" x14ac:dyDescent="0.2">
      <c r="A84" t="s">
        <v>1</v>
      </c>
      <c r="B84" t="s">
        <v>3</v>
      </c>
      <c r="C84" t="s">
        <v>4</v>
      </c>
      <c r="D84" t="s">
        <v>455</v>
      </c>
      <c r="E84" t="s">
        <v>456</v>
      </c>
      <c r="F84" t="s">
        <v>0</v>
      </c>
      <c r="G84" t="s">
        <v>15</v>
      </c>
      <c r="H84" t="s">
        <v>16</v>
      </c>
      <c r="I84" s="2">
        <v>500</v>
      </c>
      <c r="J84" s="2">
        <v>0</v>
      </c>
      <c r="K84" s="2">
        <f t="shared" si="2"/>
        <v>500</v>
      </c>
      <c r="L84" s="2">
        <f t="shared" ca="1" si="3"/>
        <v>2</v>
      </c>
      <c r="M84" s="2" t="s">
        <v>1081</v>
      </c>
      <c r="N84" t="s">
        <v>62</v>
      </c>
      <c r="O84" s="3">
        <v>46284</v>
      </c>
      <c r="P84" s="3">
        <v>46292</v>
      </c>
      <c r="Q84" s="3">
        <v>46292</v>
      </c>
      <c r="R84" s="3">
        <v>46292</v>
      </c>
      <c r="S84" t="s">
        <v>457</v>
      </c>
      <c r="T84" t="s">
        <v>458</v>
      </c>
      <c r="U84" s="3"/>
      <c r="V84" s="4">
        <v>0</v>
      </c>
      <c r="W84" s="3">
        <v>46292</v>
      </c>
      <c r="X84" t="s">
        <v>2</v>
      </c>
      <c r="Y84" t="s">
        <v>0</v>
      </c>
      <c r="Z84" s="3"/>
      <c r="AA84" s="4">
        <v>0</v>
      </c>
      <c r="AB84" s="3"/>
      <c r="AC84" s="3">
        <v>46292</v>
      </c>
      <c r="AD84" t="s">
        <v>0</v>
      </c>
    </row>
    <row r="85" spans="1:30" hidden="1" x14ac:dyDescent="0.2">
      <c r="A85" t="s">
        <v>1</v>
      </c>
      <c r="B85" t="s">
        <v>5</v>
      </c>
      <c r="C85" t="s">
        <v>4</v>
      </c>
      <c r="D85" t="s">
        <v>459</v>
      </c>
      <c r="E85" t="s">
        <v>460</v>
      </c>
      <c r="F85" t="s">
        <v>0</v>
      </c>
      <c r="G85" t="s">
        <v>17</v>
      </c>
      <c r="H85" t="s">
        <v>18</v>
      </c>
      <c r="I85" s="2">
        <v>500</v>
      </c>
      <c r="J85" s="2">
        <v>0</v>
      </c>
      <c r="K85" s="2">
        <f t="shared" si="2"/>
        <v>500</v>
      </c>
      <c r="L85" s="2">
        <f t="shared" ca="1" si="3"/>
        <v>10</v>
      </c>
      <c r="M85" s="2" t="s">
        <v>1083</v>
      </c>
      <c r="N85" t="s">
        <v>160</v>
      </c>
      <c r="O85" s="3">
        <v>46284</v>
      </c>
      <c r="P85" s="3">
        <v>46284</v>
      </c>
      <c r="Q85" s="3">
        <v>46284</v>
      </c>
      <c r="R85" s="3">
        <v>46284</v>
      </c>
      <c r="S85" t="s">
        <v>461</v>
      </c>
      <c r="T85" t="s">
        <v>462</v>
      </c>
      <c r="U85" s="3"/>
      <c r="V85" s="4">
        <v>0</v>
      </c>
      <c r="W85" s="3">
        <v>46284</v>
      </c>
      <c r="X85" t="s">
        <v>2</v>
      </c>
      <c r="Y85" t="s">
        <v>0</v>
      </c>
      <c r="Z85" s="3"/>
      <c r="AA85" s="4">
        <v>0</v>
      </c>
      <c r="AB85" s="3"/>
      <c r="AC85" s="3">
        <v>46284</v>
      </c>
      <c r="AD85" t="s">
        <v>0</v>
      </c>
    </row>
    <row r="86" spans="1:30" hidden="1" x14ac:dyDescent="0.2">
      <c r="A86" t="s">
        <v>1</v>
      </c>
      <c r="B86" t="s">
        <v>5</v>
      </c>
      <c r="C86" t="s">
        <v>4</v>
      </c>
      <c r="D86" t="s">
        <v>463</v>
      </c>
      <c r="E86" t="s">
        <v>464</v>
      </c>
      <c r="F86" t="s">
        <v>0</v>
      </c>
      <c r="G86" t="s">
        <v>19</v>
      </c>
      <c r="H86" t="s">
        <v>20</v>
      </c>
      <c r="I86" s="2">
        <v>500</v>
      </c>
      <c r="J86" s="2">
        <v>0</v>
      </c>
      <c r="K86" s="2">
        <f t="shared" si="2"/>
        <v>500</v>
      </c>
      <c r="L86" s="2">
        <f t="shared" ca="1" si="3"/>
        <v>10</v>
      </c>
      <c r="M86" s="2" t="s">
        <v>1083</v>
      </c>
      <c r="N86" t="s">
        <v>160</v>
      </c>
      <c r="O86" s="3">
        <v>46284</v>
      </c>
      <c r="P86" s="3">
        <v>46284</v>
      </c>
      <c r="Q86" s="3">
        <v>46284</v>
      </c>
      <c r="R86" s="3">
        <v>46284</v>
      </c>
      <c r="S86" t="s">
        <v>465</v>
      </c>
      <c r="T86" t="s">
        <v>466</v>
      </c>
      <c r="U86" s="3"/>
      <c r="V86" s="4">
        <v>0</v>
      </c>
      <c r="W86" s="3">
        <v>46284</v>
      </c>
      <c r="X86" t="s">
        <v>2</v>
      </c>
      <c r="Y86" t="s">
        <v>0</v>
      </c>
      <c r="Z86" s="3"/>
      <c r="AA86" s="4">
        <v>0</v>
      </c>
      <c r="AB86" s="3"/>
      <c r="AC86" s="3">
        <v>46284</v>
      </c>
      <c r="AD86" t="s">
        <v>0</v>
      </c>
    </row>
    <row r="87" spans="1:30" hidden="1" x14ac:dyDescent="0.2">
      <c r="A87" t="s">
        <v>1</v>
      </c>
      <c r="B87" t="s">
        <v>5</v>
      </c>
      <c r="C87" t="s">
        <v>4</v>
      </c>
      <c r="D87" t="s">
        <v>467</v>
      </c>
      <c r="E87" t="s">
        <v>468</v>
      </c>
      <c r="F87" t="s">
        <v>0</v>
      </c>
      <c r="G87" t="s">
        <v>21</v>
      </c>
      <c r="H87" t="s">
        <v>22</v>
      </c>
      <c r="I87" s="2">
        <v>500</v>
      </c>
      <c r="J87" s="2">
        <v>0</v>
      </c>
      <c r="K87" s="2">
        <f t="shared" si="2"/>
        <v>500</v>
      </c>
      <c r="L87" s="2">
        <f t="shared" ca="1" si="3"/>
        <v>2</v>
      </c>
      <c r="M87" s="2" t="s">
        <v>1081</v>
      </c>
      <c r="N87" t="s">
        <v>160</v>
      </c>
      <c r="O87" s="3">
        <v>46284</v>
      </c>
      <c r="P87" s="3">
        <v>46292</v>
      </c>
      <c r="Q87" s="3">
        <v>46292</v>
      </c>
      <c r="R87" s="3">
        <v>46292</v>
      </c>
      <c r="S87" t="s">
        <v>469</v>
      </c>
      <c r="T87" t="s">
        <v>470</v>
      </c>
      <c r="U87" s="3"/>
      <c r="V87" s="4">
        <v>0</v>
      </c>
      <c r="W87" s="3">
        <v>46292</v>
      </c>
      <c r="X87" t="s">
        <v>2</v>
      </c>
      <c r="Y87" t="s">
        <v>0</v>
      </c>
      <c r="Z87" s="3"/>
      <c r="AA87" s="4">
        <v>0</v>
      </c>
      <c r="AB87" s="3"/>
      <c r="AC87" s="3">
        <v>46292</v>
      </c>
      <c r="AD87" t="s">
        <v>0</v>
      </c>
    </row>
    <row r="88" spans="1:30" hidden="1" x14ac:dyDescent="0.2">
      <c r="A88" t="s">
        <v>1</v>
      </c>
      <c r="B88" t="s">
        <v>3</v>
      </c>
      <c r="C88" t="s">
        <v>4</v>
      </c>
      <c r="D88" t="s">
        <v>471</v>
      </c>
      <c r="E88" t="s">
        <v>472</v>
      </c>
      <c r="F88" t="s">
        <v>0</v>
      </c>
      <c r="G88" t="s">
        <v>15</v>
      </c>
      <c r="H88" t="s">
        <v>16</v>
      </c>
      <c r="I88" s="2">
        <v>500</v>
      </c>
      <c r="J88" s="2">
        <v>500</v>
      </c>
      <c r="K88" s="2">
        <f t="shared" si="2"/>
        <v>0</v>
      </c>
      <c r="L88" s="2">
        <f t="shared" ca="1" si="3"/>
        <v>3</v>
      </c>
      <c r="M88" s="2" t="s">
        <v>1081</v>
      </c>
      <c r="N88" t="s">
        <v>89</v>
      </c>
      <c r="O88" s="3">
        <v>46284</v>
      </c>
      <c r="P88" s="3">
        <v>46291</v>
      </c>
      <c r="Q88" s="3">
        <v>46291</v>
      </c>
      <c r="R88" s="3">
        <v>46291</v>
      </c>
      <c r="S88" t="s">
        <v>473</v>
      </c>
      <c r="T88" t="s">
        <v>474</v>
      </c>
      <c r="U88" s="3">
        <v>46293</v>
      </c>
      <c r="V88" s="4">
        <v>0.36337962962963</v>
      </c>
      <c r="W88" s="3">
        <v>46291</v>
      </c>
      <c r="X88" t="s">
        <v>2</v>
      </c>
      <c r="Y88" t="s">
        <v>0</v>
      </c>
      <c r="Z88" s="3"/>
      <c r="AA88" s="4">
        <v>0</v>
      </c>
      <c r="AB88" s="3">
        <v>46293</v>
      </c>
      <c r="AC88" s="3">
        <v>46291</v>
      </c>
      <c r="AD88" t="s">
        <v>0</v>
      </c>
    </row>
    <row r="89" spans="1:30" hidden="1" x14ac:dyDescent="0.2">
      <c r="A89" t="s">
        <v>1</v>
      </c>
      <c r="B89" t="s">
        <v>5</v>
      </c>
      <c r="C89" t="s">
        <v>4</v>
      </c>
      <c r="D89" t="s">
        <v>475</v>
      </c>
      <c r="E89" t="s">
        <v>476</v>
      </c>
      <c r="F89" t="s">
        <v>0</v>
      </c>
      <c r="G89" t="s">
        <v>17</v>
      </c>
      <c r="H89" t="s">
        <v>18</v>
      </c>
      <c r="I89" s="2">
        <v>500</v>
      </c>
      <c r="J89" s="2">
        <v>492</v>
      </c>
      <c r="K89" s="2">
        <f t="shared" si="2"/>
        <v>8</v>
      </c>
      <c r="L89" s="2">
        <f t="shared" ca="1" si="3"/>
        <v>10</v>
      </c>
      <c r="M89" s="2" t="s">
        <v>1083</v>
      </c>
      <c r="N89" t="s">
        <v>167</v>
      </c>
      <c r="O89" s="3">
        <v>46284</v>
      </c>
      <c r="P89" s="3">
        <v>46284</v>
      </c>
      <c r="Q89" s="3">
        <v>46284</v>
      </c>
      <c r="R89" s="3">
        <v>46284</v>
      </c>
      <c r="S89" t="s">
        <v>477</v>
      </c>
      <c r="T89" t="s">
        <v>478</v>
      </c>
      <c r="U89" s="3">
        <v>46291</v>
      </c>
      <c r="V89" s="4">
        <v>0.28878472222222001</v>
      </c>
      <c r="W89" s="3">
        <v>46291</v>
      </c>
      <c r="X89" t="s">
        <v>2</v>
      </c>
      <c r="Y89" t="s">
        <v>0</v>
      </c>
      <c r="Z89" s="3"/>
      <c r="AA89" s="4">
        <v>0</v>
      </c>
      <c r="AB89" s="3">
        <v>46291</v>
      </c>
      <c r="AC89" s="3">
        <v>46284</v>
      </c>
      <c r="AD89" t="s">
        <v>0</v>
      </c>
    </row>
    <row r="90" spans="1:30" hidden="1" x14ac:dyDescent="0.2">
      <c r="A90" t="s">
        <v>1</v>
      </c>
      <c r="B90" t="s">
        <v>5</v>
      </c>
      <c r="C90" t="s">
        <v>4</v>
      </c>
      <c r="D90" t="s">
        <v>479</v>
      </c>
      <c r="E90" t="s">
        <v>480</v>
      </c>
      <c r="F90" t="s">
        <v>0</v>
      </c>
      <c r="G90" t="s">
        <v>19</v>
      </c>
      <c r="H90" t="s">
        <v>20</v>
      </c>
      <c r="I90" s="2">
        <v>500</v>
      </c>
      <c r="J90" s="2">
        <v>492</v>
      </c>
      <c r="K90" s="2">
        <f t="shared" si="2"/>
        <v>8</v>
      </c>
      <c r="L90" s="2">
        <f t="shared" ca="1" si="3"/>
        <v>10</v>
      </c>
      <c r="M90" s="2" t="s">
        <v>1083</v>
      </c>
      <c r="N90" t="s">
        <v>167</v>
      </c>
      <c r="O90" s="3">
        <v>46284</v>
      </c>
      <c r="P90" s="3">
        <v>46284</v>
      </c>
      <c r="Q90" s="3">
        <v>46284</v>
      </c>
      <c r="R90" s="3">
        <v>46284</v>
      </c>
      <c r="S90" t="s">
        <v>481</v>
      </c>
      <c r="T90" t="s">
        <v>482</v>
      </c>
      <c r="U90" s="3">
        <v>46291</v>
      </c>
      <c r="V90" s="4">
        <v>0.29207175925925999</v>
      </c>
      <c r="W90" s="3">
        <v>46284</v>
      </c>
      <c r="X90" t="s">
        <v>2</v>
      </c>
      <c r="Y90" t="s">
        <v>0</v>
      </c>
      <c r="Z90" s="3"/>
      <c r="AA90" s="4">
        <v>0</v>
      </c>
      <c r="AB90" s="3">
        <v>46291</v>
      </c>
      <c r="AC90" s="3">
        <v>46284</v>
      </c>
      <c r="AD90" t="s">
        <v>0</v>
      </c>
    </row>
    <row r="91" spans="1:30" hidden="1" x14ac:dyDescent="0.2">
      <c r="A91" t="s">
        <v>1</v>
      </c>
      <c r="B91" t="s">
        <v>5</v>
      </c>
      <c r="C91" t="s">
        <v>4</v>
      </c>
      <c r="D91" t="s">
        <v>483</v>
      </c>
      <c r="E91" t="s">
        <v>484</v>
      </c>
      <c r="F91" t="s">
        <v>0</v>
      </c>
      <c r="G91" t="s">
        <v>21</v>
      </c>
      <c r="H91" t="s">
        <v>22</v>
      </c>
      <c r="I91" s="2">
        <v>500</v>
      </c>
      <c r="J91" s="2">
        <v>492</v>
      </c>
      <c r="K91" s="2">
        <f t="shared" si="2"/>
        <v>8</v>
      </c>
      <c r="L91" s="2">
        <f t="shared" ca="1" si="3"/>
        <v>3</v>
      </c>
      <c r="M91" s="2" t="s">
        <v>1081</v>
      </c>
      <c r="N91" t="s">
        <v>167</v>
      </c>
      <c r="O91" s="3">
        <v>46284</v>
      </c>
      <c r="P91" s="3">
        <v>46291</v>
      </c>
      <c r="Q91" s="3">
        <v>46291</v>
      </c>
      <c r="R91" s="3">
        <v>46291</v>
      </c>
      <c r="S91" t="s">
        <v>485</v>
      </c>
      <c r="T91" t="s">
        <v>486</v>
      </c>
      <c r="U91" s="3">
        <v>46291</v>
      </c>
      <c r="V91" s="4">
        <v>0.48678240740741002</v>
      </c>
      <c r="W91" s="3">
        <v>46291</v>
      </c>
      <c r="X91" t="s">
        <v>2</v>
      </c>
      <c r="Y91" t="s">
        <v>0</v>
      </c>
      <c r="Z91" s="3"/>
      <c r="AA91" s="4">
        <v>0</v>
      </c>
      <c r="AB91" s="3">
        <v>46291</v>
      </c>
      <c r="AC91" s="3">
        <v>46291</v>
      </c>
      <c r="AD91" t="s">
        <v>0</v>
      </c>
    </row>
    <row r="92" spans="1:30" hidden="1" x14ac:dyDescent="0.2">
      <c r="A92" t="s">
        <v>1</v>
      </c>
      <c r="B92" t="s">
        <v>10</v>
      </c>
      <c r="C92" t="s">
        <v>23</v>
      </c>
      <c r="D92" t="s">
        <v>487</v>
      </c>
      <c r="E92" t="s">
        <v>488</v>
      </c>
      <c r="F92" t="s">
        <v>0</v>
      </c>
      <c r="G92" t="s">
        <v>99</v>
      </c>
      <c r="H92" t="s">
        <v>100</v>
      </c>
      <c r="I92" s="2">
        <v>312</v>
      </c>
      <c r="J92" s="2">
        <v>312</v>
      </c>
      <c r="K92" s="2">
        <f t="shared" si="2"/>
        <v>0</v>
      </c>
      <c r="L92" s="2">
        <f t="shared" ca="1" si="3"/>
        <v>8</v>
      </c>
      <c r="M92" s="2" t="s">
        <v>1083</v>
      </c>
      <c r="N92" t="s">
        <v>489</v>
      </c>
      <c r="O92" s="3">
        <v>46284</v>
      </c>
      <c r="P92" s="3">
        <v>46286</v>
      </c>
      <c r="Q92" s="3">
        <v>46286</v>
      </c>
      <c r="R92" s="3">
        <v>46286</v>
      </c>
      <c r="S92" t="s">
        <v>490</v>
      </c>
      <c r="T92" t="s">
        <v>491</v>
      </c>
      <c r="U92" s="3">
        <v>46291</v>
      </c>
      <c r="V92" s="4">
        <v>0.92077546296295998</v>
      </c>
      <c r="W92" s="3">
        <v>46286</v>
      </c>
      <c r="X92" t="s">
        <v>2</v>
      </c>
      <c r="Y92" t="s">
        <v>11</v>
      </c>
      <c r="Z92" s="3"/>
      <c r="AA92" s="4">
        <v>0</v>
      </c>
      <c r="AB92" s="3">
        <v>46291</v>
      </c>
      <c r="AC92" s="3">
        <v>46286</v>
      </c>
      <c r="AD92" t="s">
        <v>0</v>
      </c>
    </row>
    <row r="93" spans="1:30" hidden="1" x14ac:dyDescent="0.2">
      <c r="A93" t="s">
        <v>1</v>
      </c>
      <c r="B93" t="s">
        <v>3</v>
      </c>
      <c r="C93" t="s">
        <v>4</v>
      </c>
      <c r="D93" t="s">
        <v>492</v>
      </c>
      <c r="E93" t="s">
        <v>493</v>
      </c>
      <c r="F93" t="s">
        <v>0</v>
      </c>
      <c r="G93" t="s">
        <v>45</v>
      </c>
      <c r="H93" t="s">
        <v>46</v>
      </c>
      <c r="I93" s="2">
        <v>500</v>
      </c>
      <c r="J93" s="2">
        <v>500</v>
      </c>
      <c r="K93" s="2">
        <f t="shared" si="2"/>
        <v>0</v>
      </c>
      <c r="L93" s="2">
        <f t="shared" ca="1" si="3"/>
        <v>5</v>
      </c>
      <c r="M93" s="2" t="s">
        <v>1082</v>
      </c>
      <c r="N93" t="s">
        <v>489</v>
      </c>
      <c r="O93" s="3">
        <v>46284</v>
      </c>
      <c r="P93" s="3">
        <v>46289</v>
      </c>
      <c r="Q93" s="3">
        <v>46289</v>
      </c>
      <c r="R93" s="3">
        <v>46289</v>
      </c>
      <c r="S93" t="s">
        <v>494</v>
      </c>
      <c r="T93" t="s">
        <v>495</v>
      </c>
      <c r="U93" s="3">
        <v>46289</v>
      </c>
      <c r="V93" s="4">
        <v>0.54959490740741002</v>
      </c>
      <c r="W93" s="3">
        <v>46289</v>
      </c>
      <c r="X93" t="s">
        <v>2</v>
      </c>
      <c r="Y93" t="s">
        <v>0</v>
      </c>
      <c r="Z93" s="3"/>
      <c r="AA93" s="4">
        <v>0</v>
      </c>
      <c r="AB93" s="3">
        <v>46289</v>
      </c>
      <c r="AC93" s="3">
        <v>46289</v>
      </c>
      <c r="AD93" t="s">
        <v>0</v>
      </c>
    </row>
    <row r="94" spans="1:30" hidden="1" x14ac:dyDescent="0.2">
      <c r="A94" t="s">
        <v>1</v>
      </c>
      <c r="B94" t="s">
        <v>5</v>
      </c>
      <c r="C94" t="s">
        <v>4</v>
      </c>
      <c r="D94" t="s">
        <v>496</v>
      </c>
      <c r="E94" t="s">
        <v>497</v>
      </c>
      <c r="F94" t="s">
        <v>0</v>
      </c>
      <c r="G94" t="s">
        <v>47</v>
      </c>
      <c r="H94" t="s">
        <v>48</v>
      </c>
      <c r="I94" s="2">
        <v>500</v>
      </c>
      <c r="J94" s="2">
        <v>495</v>
      </c>
      <c r="K94" s="2">
        <f t="shared" si="2"/>
        <v>5</v>
      </c>
      <c r="L94" s="2">
        <f t="shared" ca="1" si="3"/>
        <v>8</v>
      </c>
      <c r="M94" s="2" t="s">
        <v>1083</v>
      </c>
      <c r="N94" t="s">
        <v>167</v>
      </c>
      <c r="O94" s="3">
        <v>46284</v>
      </c>
      <c r="P94" s="3">
        <v>46286</v>
      </c>
      <c r="Q94" s="3">
        <v>46286</v>
      </c>
      <c r="R94" s="3">
        <v>46286</v>
      </c>
      <c r="S94" t="s">
        <v>498</v>
      </c>
      <c r="T94" t="s">
        <v>499</v>
      </c>
      <c r="U94" s="3">
        <v>46289</v>
      </c>
      <c r="V94" s="4">
        <v>0.44502314814815003</v>
      </c>
      <c r="W94" s="3">
        <v>46286</v>
      </c>
      <c r="X94" t="s">
        <v>2</v>
      </c>
      <c r="Y94" t="s">
        <v>0</v>
      </c>
      <c r="Z94" s="3"/>
      <c r="AA94" s="4">
        <v>0</v>
      </c>
      <c r="AB94" s="3">
        <v>46289</v>
      </c>
      <c r="AC94" s="3">
        <v>46286</v>
      </c>
      <c r="AD94" t="s">
        <v>0</v>
      </c>
    </row>
    <row r="95" spans="1:30" hidden="1" x14ac:dyDescent="0.2">
      <c r="A95" t="s">
        <v>1</v>
      </c>
      <c r="B95" t="s">
        <v>3</v>
      </c>
      <c r="C95" t="s">
        <v>4</v>
      </c>
      <c r="D95" t="s">
        <v>500</v>
      </c>
      <c r="E95" t="s">
        <v>501</v>
      </c>
      <c r="F95" t="s">
        <v>0</v>
      </c>
      <c r="G95" t="s">
        <v>45</v>
      </c>
      <c r="H95" t="s">
        <v>46</v>
      </c>
      <c r="I95" s="2">
        <v>500</v>
      </c>
      <c r="J95" s="2">
        <v>500</v>
      </c>
      <c r="K95" s="2">
        <f t="shared" si="2"/>
        <v>0</v>
      </c>
      <c r="L95" s="2">
        <f t="shared" ca="1" si="3"/>
        <v>5</v>
      </c>
      <c r="M95" s="2" t="s">
        <v>1082</v>
      </c>
      <c r="N95" t="s">
        <v>89</v>
      </c>
      <c r="O95" s="3">
        <v>46284</v>
      </c>
      <c r="P95" s="3">
        <v>46289</v>
      </c>
      <c r="Q95" s="3">
        <v>46289</v>
      </c>
      <c r="R95" s="3">
        <v>46289</v>
      </c>
      <c r="S95" t="s">
        <v>502</v>
      </c>
      <c r="T95" t="s">
        <v>503</v>
      </c>
      <c r="U95" s="3">
        <v>46290</v>
      </c>
      <c r="V95" s="4">
        <v>0.43871527777778002</v>
      </c>
      <c r="W95" s="3">
        <v>46290</v>
      </c>
      <c r="X95" t="s">
        <v>2</v>
      </c>
      <c r="Y95" t="s">
        <v>0</v>
      </c>
      <c r="Z95" s="3"/>
      <c r="AA95" s="4">
        <v>0</v>
      </c>
      <c r="AB95" s="3">
        <v>46290</v>
      </c>
      <c r="AC95" s="3">
        <v>46289</v>
      </c>
      <c r="AD95" t="s">
        <v>0</v>
      </c>
    </row>
    <row r="96" spans="1:30" hidden="1" x14ac:dyDescent="0.2">
      <c r="A96" t="s">
        <v>1</v>
      </c>
      <c r="B96" t="s">
        <v>5</v>
      </c>
      <c r="C96" t="s">
        <v>4</v>
      </c>
      <c r="D96" t="s">
        <v>504</v>
      </c>
      <c r="E96" t="s">
        <v>505</v>
      </c>
      <c r="F96" t="s">
        <v>0</v>
      </c>
      <c r="G96" t="s">
        <v>47</v>
      </c>
      <c r="H96" t="s">
        <v>48</v>
      </c>
      <c r="I96" s="2">
        <v>500</v>
      </c>
      <c r="J96" s="2">
        <v>498</v>
      </c>
      <c r="K96" s="2">
        <f t="shared" si="2"/>
        <v>2</v>
      </c>
      <c r="L96" s="2">
        <f t="shared" ca="1" si="3"/>
        <v>8</v>
      </c>
      <c r="M96" s="2" t="s">
        <v>1083</v>
      </c>
      <c r="N96" t="s">
        <v>167</v>
      </c>
      <c r="O96" s="3">
        <v>46284</v>
      </c>
      <c r="P96" s="3">
        <v>46286</v>
      </c>
      <c r="Q96" s="3">
        <v>46286</v>
      </c>
      <c r="R96" s="3">
        <v>46286</v>
      </c>
      <c r="S96" t="s">
        <v>506</v>
      </c>
      <c r="T96" t="s">
        <v>507</v>
      </c>
      <c r="U96" s="3">
        <v>46290</v>
      </c>
      <c r="V96" s="4">
        <v>0.34780092592592998</v>
      </c>
      <c r="W96" s="3">
        <v>46286</v>
      </c>
      <c r="X96" t="s">
        <v>2</v>
      </c>
      <c r="Y96" t="s">
        <v>0</v>
      </c>
      <c r="Z96" s="3"/>
      <c r="AA96" s="4">
        <v>0</v>
      </c>
      <c r="AB96" s="3">
        <v>46290</v>
      </c>
      <c r="AC96" s="3">
        <v>46286</v>
      </c>
      <c r="AD96" t="s">
        <v>0</v>
      </c>
    </row>
    <row r="97" spans="1:30" hidden="1" x14ac:dyDescent="0.2">
      <c r="A97" t="s">
        <v>1</v>
      </c>
      <c r="B97" t="s">
        <v>3</v>
      </c>
      <c r="C97" t="s">
        <v>4</v>
      </c>
      <c r="D97" t="s">
        <v>508</v>
      </c>
      <c r="E97" t="s">
        <v>509</v>
      </c>
      <c r="F97" t="s">
        <v>0</v>
      </c>
      <c r="G97" t="s">
        <v>58</v>
      </c>
      <c r="H97" t="s">
        <v>59</v>
      </c>
      <c r="I97" s="2">
        <v>500</v>
      </c>
      <c r="J97" s="2">
        <v>500</v>
      </c>
      <c r="K97" s="2">
        <f t="shared" si="2"/>
        <v>0</v>
      </c>
      <c r="L97" s="2">
        <f t="shared" ca="1" si="3"/>
        <v>7</v>
      </c>
      <c r="M97" s="2" t="s">
        <v>1082</v>
      </c>
      <c r="N97" t="s">
        <v>89</v>
      </c>
      <c r="O97" s="3">
        <v>46286</v>
      </c>
      <c r="P97" s="3">
        <v>46287</v>
      </c>
      <c r="Q97" s="3">
        <v>46287</v>
      </c>
      <c r="R97" s="3">
        <v>46287</v>
      </c>
      <c r="S97" t="s">
        <v>510</v>
      </c>
      <c r="T97" t="s">
        <v>511</v>
      </c>
      <c r="U97" s="3">
        <v>46288</v>
      </c>
      <c r="V97" s="4">
        <v>0.73349537037037005</v>
      </c>
      <c r="W97" s="3">
        <v>46288</v>
      </c>
      <c r="X97" t="s">
        <v>2</v>
      </c>
      <c r="Y97" t="s">
        <v>0</v>
      </c>
      <c r="Z97" s="3"/>
      <c r="AA97" s="4">
        <v>0</v>
      </c>
      <c r="AB97" s="3">
        <v>46288</v>
      </c>
      <c r="AC97" s="3">
        <v>46287</v>
      </c>
      <c r="AD97" t="s">
        <v>0</v>
      </c>
    </row>
    <row r="98" spans="1:30" hidden="1" x14ac:dyDescent="0.2">
      <c r="A98" t="s">
        <v>1</v>
      </c>
      <c r="B98" t="s">
        <v>24</v>
      </c>
      <c r="C98" t="s">
        <v>23</v>
      </c>
      <c r="D98" t="s">
        <v>512</v>
      </c>
      <c r="E98" t="s">
        <v>513</v>
      </c>
      <c r="F98" t="s">
        <v>0</v>
      </c>
      <c r="G98" t="s">
        <v>49</v>
      </c>
      <c r="H98" t="s">
        <v>50</v>
      </c>
      <c r="I98" s="2">
        <v>250</v>
      </c>
      <c r="J98" s="2">
        <v>250</v>
      </c>
      <c r="K98" s="2">
        <f t="shared" si="2"/>
        <v>0</v>
      </c>
      <c r="L98" s="2">
        <f t="shared" ca="1" si="3"/>
        <v>8</v>
      </c>
      <c r="M98" s="2" t="s">
        <v>1083</v>
      </c>
      <c r="N98" t="s">
        <v>90</v>
      </c>
      <c r="O98" s="3">
        <v>46286</v>
      </c>
      <c r="P98" s="3">
        <v>46286</v>
      </c>
      <c r="Q98" s="3">
        <v>46286</v>
      </c>
      <c r="R98" s="3">
        <v>46286</v>
      </c>
      <c r="S98" t="s">
        <v>514</v>
      </c>
      <c r="T98" t="s">
        <v>515</v>
      </c>
      <c r="U98" s="3">
        <v>46293</v>
      </c>
      <c r="V98" s="4">
        <v>0.89289351851851995</v>
      </c>
      <c r="W98" s="3">
        <v>46286</v>
      </c>
      <c r="X98" t="s">
        <v>2</v>
      </c>
      <c r="Y98" t="s">
        <v>11</v>
      </c>
      <c r="Z98" s="3"/>
      <c r="AA98" s="4">
        <v>0</v>
      </c>
      <c r="AB98" s="3">
        <v>46293</v>
      </c>
      <c r="AC98" s="3">
        <v>46286</v>
      </c>
      <c r="AD98" t="s">
        <v>0</v>
      </c>
    </row>
    <row r="99" spans="1:30" hidden="1" x14ac:dyDescent="0.2">
      <c r="A99" t="s">
        <v>1</v>
      </c>
      <c r="B99" t="s">
        <v>3</v>
      </c>
      <c r="C99" t="s">
        <v>4</v>
      </c>
      <c r="D99" t="s">
        <v>516</v>
      </c>
      <c r="E99" t="s">
        <v>517</v>
      </c>
      <c r="F99" t="s">
        <v>0</v>
      </c>
      <c r="G99" t="s">
        <v>60</v>
      </c>
      <c r="H99" t="s">
        <v>61</v>
      </c>
      <c r="I99" s="2">
        <v>500</v>
      </c>
      <c r="J99" s="2">
        <v>498</v>
      </c>
      <c r="K99" s="2">
        <f t="shared" si="2"/>
        <v>2</v>
      </c>
      <c r="L99" s="2">
        <f t="shared" ca="1" si="3"/>
        <v>5</v>
      </c>
      <c r="M99" s="2" t="s">
        <v>1082</v>
      </c>
      <c r="N99" t="s">
        <v>167</v>
      </c>
      <c r="O99" s="3">
        <v>46287</v>
      </c>
      <c r="P99" s="3">
        <v>46289</v>
      </c>
      <c r="Q99" s="3">
        <v>46289</v>
      </c>
      <c r="R99" s="3">
        <v>46289</v>
      </c>
      <c r="S99" t="s">
        <v>518</v>
      </c>
      <c r="T99" t="s">
        <v>519</v>
      </c>
      <c r="U99" s="3">
        <v>46289</v>
      </c>
      <c r="V99" s="4">
        <v>0.55297453703704003</v>
      </c>
      <c r="W99" s="3">
        <v>46289</v>
      </c>
      <c r="X99" t="s">
        <v>2</v>
      </c>
      <c r="Y99" t="s">
        <v>0</v>
      </c>
      <c r="Z99" s="3"/>
      <c r="AA99" s="4">
        <v>0</v>
      </c>
      <c r="AB99" s="3">
        <v>46289</v>
      </c>
      <c r="AC99" s="3">
        <v>46289</v>
      </c>
      <c r="AD99" t="s">
        <v>0</v>
      </c>
    </row>
    <row r="100" spans="1:30" hidden="1" x14ac:dyDescent="0.2">
      <c r="A100" t="s">
        <v>1</v>
      </c>
      <c r="B100" t="s">
        <v>3</v>
      </c>
      <c r="C100" t="s">
        <v>4</v>
      </c>
      <c r="D100" t="s">
        <v>520</v>
      </c>
      <c r="E100" t="s">
        <v>521</v>
      </c>
      <c r="F100" t="s">
        <v>0</v>
      </c>
      <c r="G100" t="s">
        <v>60</v>
      </c>
      <c r="H100" t="s">
        <v>61</v>
      </c>
      <c r="I100" s="2">
        <v>500</v>
      </c>
      <c r="J100" s="2">
        <v>500</v>
      </c>
      <c r="K100" s="2">
        <f t="shared" si="2"/>
        <v>0</v>
      </c>
      <c r="L100" s="2">
        <f t="shared" ca="1" si="3"/>
        <v>5</v>
      </c>
      <c r="M100" s="2" t="s">
        <v>1082</v>
      </c>
      <c r="N100" t="s">
        <v>89</v>
      </c>
      <c r="O100" s="3">
        <v>46287</v>
      </c>
      <c r="P100" s="3">
        <v>46289</v>
      </c>
      <c r="Q100" s="3">
        <v>46289</v>
      </c>
      <c r="R100" s="3">
        <v>46289</v>
      </c>
      <c r="S100" t="s">
        <v>522</v>
      </c>
      <c r="T100" t="s">
        <v>523</v>
      </c>
      <c r="U100" s="3">
        <v>46289</v>
      </c>
      <c r="V100" s="4">
        <v>0.55645833333332995</v>
      </c>
      <c r="W100" s="3">
        <v>46289</v>
      </c>
      <c r="X100" t="s">
        <v>2</v>
      </c>
      <c r="Y100" t="s">
        <v>0</v>
      </c>
      <c r="Z100" s="3"/>
      <c r="AA100" s="4">
        <v>0</v>
      </c>
      <c r="AB100" s="3">
        <v>46289</v>
      </c>
      <c r="AC100" s="3">
        <v>46289</v>
      </c>
      <c r="AD100" t="s">
        <v>0</v>
      </c>
    </row>
    <row r="101" spans="1:30" hidden="1" x14ac:dyDescent="0.2">
      <c r="A101" t="s">
        <v>1</v>
      </c>
      <c r="B101" t="s">
        <v>3</v>
      </c>
      <c r="C101" t="s">
        <v>4</v>
      </c>
      <c r="D101" t="s">
        <v>524</v>
      </c>
      <c r="E101" t="s">
        <v>525</v>
      </c>
      <c r="F101" t="s">
        <v>0</v>
      </c>
      <c r="G101" t="s">
        <v>60</v>
      </c>
      <c r="H101" t="s">
        <v>61</v>
      </c>
      <c r="I101" s="2">
        <v>200</v>
      </c>
      <c r="J101" s="2">
        <v>200</v>
      </c>
      <c r="K101" s="2">
        <f t="shared" si="2"/>
        <v>0</v>
      </c>
      <c r="L101" s="2">
        <f t="shared" ca="1" si="3"/>
        <v>5</v>
      </c>
      <c r="M101" s="2" t="s">
        <v>1082</v>
      </c>
      <c r="N101" t="s">
        <v>89</v>
      </c>
      <c r="O101" s="3">
        <v>46287</v>
      </c>
      <c r="P101" s="3">
        <v>46289</v>
      </c>
      <c r="Q101" s="3">
        <v>46289</v>
      </c>
      <c r="R101" s="3">
        <v>46289</v>
      </c>
      <c r="S101" t="s">
        <v>526</v>
      </c>
      <c r="T101" t="s">
        <v>527</v>
      </c>
      <c r="U101" s="3">
        <v>46290</v>
      </c>
      <c r="V101" s="4">
        <v>0.45938657407407002</v>
      </c>
      <c r="W101" s="3">
        <v>46289</v>
      </c>
      <c r="X101" t="s">
        <v>2</v>
      </c>
      <c r="Y101" t="s">
        <v>0</v>
      </c>
      <c r="Z101" s="3"/>
      <c r="AA101" s="4">
        <v>0</v>
      </c>
      <c r="AB101" s="3">
        <v>46290</v>
      </c>
      <c r="AC101" s="3">
        <v>46289</v>
      </c>
      <c r="AD101" t="s">
        <v>0</v>
      </c>
    </row>
    <row r="102" spans="1:30" hidden="1" x14ac:dyDescent="0.2">
      <c r="A102" t="s">
        <v>1</v>
      </c>
      <c r="B102" t="s">
        <v>10</v>
      </c>
      <c r="C102" t="s">
        <v>23</v>
      </c>
      <c r="D102" t="s">
        <v>528</v>
      </c>
      <c r="E102" t="s">
        <v>529</v>
      </c>
      <c r="F102" t="s">
        <v>0</v>
      </c>
      <c r="G102" t="s">
        <v>97</v>
      </c>
      <c r="H102" t="s">
        <v>98</v>
      </c>
      <c r="I102" s="2">
        <v>156</v>
      </c>
      <c r="J102" s="2">
        <v>156</v>
      </c>
      <c r="K102" s="2">
        <f t="shared" si="2"/>
        <v>0</v>
      </c>
      <c r="L102" s="2">
        <f t="shared" ca="1" si="3"/>
        <v>7</v>
      </c>
      <c r="M102" s="2" t="s">
        <v>1082</v>
      </c>
      <c r="N102" t="s">
        <v>54</v>
      </c>
      <c r="O102" s="3">
        <v>46287</v>
      </c>
      <c r="P102" s="3">
        <v>46287</v>
      </c>
      <c r="Q102" s="3">
        <v>46287</v>
      </c>
      <c r="R102" s="3">
        <v>46287</v>
      </c>
      <c r="S102" t="s">
        <v>530</v>
      </c>
      <c r="T102" t="s">
        <v>531</v>
      </c>
      <c r="U102" s="3">
        <v>46291</v>
      </c>
      <c r="V102" s="4">
        <v>0.96592592592592996</v>
      </c>
      <c r="W102" s="3">
        <v>46287</v>
      </c>
      <c r="X102" t="s">
        <v>2</v>
      </c>
      <c r="Y102" t="s">
        <v>11</v>
      </c>
      <c r="Z102" s="3">
        <v>46291</v>
      </c>
      <c r="AA102" s="4">
        <v>0.96592592592592996</v>
      </c>
      <c r="AB102" s="3">
        <v>46291</v>
      </c>
      <c r="AC102" s="3">
        <v>46287</v>
      </c>
      <c r="AD102" t="s">
        <v>0</v>
      </c>
    </row>
    <row r="103" spans="1:30" hidden="1" x14ac:dyDescent="0.2">
      <c r="A103" t="s">
        <v>1</v>
      </c>
      <c r="B103" t="s">
        <v>10</v>
      </c>
      <c r="C103" t="s">
        <v>23</v>
      </c>
      <c r="D103" t="s">
        <v>532</v>
      </c>
      <c r="E103" t="s">
        <v>533</v>
      </c>
      <c r="F103" t="s">
        <v>0</v>
      </c>
      <c r="G103" t="s">
        <v>534</v>
      </c>
      <c r="H103" t="s">
        <v>535</v>
      </c>
      <c r="I103" s="2">
        <v>500</v>
      </c>
      <c r="J103" s="2">
        <v>500</v>
      </c>
      <c r="K103" s="2">
        <f t="shared" si="2"/>
        <v>0</v>
      </c>
      <c r="L103" s="2">
        <f t="shared" ca="1" si="3"/>
        <v>7</v>
      </c>
      <c r="M103" s="2" t="s">
        <v>1082</v>
      </c>
      <c r="N103" t="s">
        <v>54</v>
      </c>
      <c r="O103" s="3">
        <v>46287</v>
      </c>
      <c r="P103" s="3">
        <v>46287</v>
      </c>
      <c r="Q103" s="3">
        <v>46287</v>
      </c>
      <c r="R103" s="3">
        <v>46287</v>
      </c>
      <c r="S103" t="s">
        <v>536</v>
      </c>
      <c r="T103" t="s">
        <v>537</v>
      </c>
      <c r="U103" s="3">
        <v>46292</v>
      </c>
      <c r="V103" s="4">
        <v>0.44511574074074001</v>
      </c>
      <c r="W103" s="3">
        <v>46287</v>
      </c>
      <c r="X103" t="s">
        <v>2</v>
      </c>
      <c r="Y103" t="s">
        <v>34</v>
      </c>
      <c r="Z103" s="3">
        <v>46292</v>
      </c>
      <c r="AA103" s="4">
        <v>0.44511574074074001</v>
      </c>
      <c r="AB103" s="3">
        <v>46292</v>
      </c>
      <c r="AC103" s="3">
        <v>46287</v>
      </c>
      <c r="AD103" t="s">
        <v>0</v>
      </c>
    </row>
    <row r="104" spans="1:30" hidden="1" x14ac:dyDescent="0.2">
      <c r="A104" t="s">
        <v>1</v>
      </c>
      <c r="B104" t="s">
        <v>10</v>
      </c>
      <c r="C104" t="s">
        <v>23</v>
      </c>
      <c r="D104" t="s">
        <v>538</v>
      </c>
      <c r="E104" t="s">
        <v>539</v>
      </c>
      <c r="F104" t="s">
        <v>0</v>
      </c>
      <c r="G104" t="s">
        <v>540</v>
      </c>
      <c r="H104" t="s">
        <v>535</v>
      </c>
      <c r="I104" s="2">
        <v>500</v>
      </c>
      <c r="J104" s="2">
        <v>500</v>
      </c>
      <c r="K104" s="2">
        <f t="shared" si="2"/>
        <v>0</v>
      </c>
      <c r="L104" s="2">
        <f t="shared" ca="1" si="3"/>
        <v>7</v>
      </c>
      <c r="M104" s="2" t="s">
        <v>1082</v>
      </c>
      <c r="N104" t="s">
        <v>54</v>
      </c>
      <c r="O104" s="3">
        <v>46287</v>
      </c>
      <c r="P104" s="3">
        <v>46287</v>
      </c>
      <c r="Q104" s="3">
        <v>46287</v>
      </c>
      <c r="R104" s="3">
        <v>46287</v>
      </c>
      <c r="S104" t="s">
        <v>541</v>
      </c>
      <c r="T104" t="s">
        <v>542</v>
      </c>
      <c r="U104" s="3">
        <v>46292</v>
      </c>
      <c r="V104" s="4">
        <v>0.34440972222221999</v>
      </c>
      <c r="W104" s="3">
        <v>46287</v>
      </c>
      <c r="X104" t="s">
        <v>2</v>
      </c>
      <c r="Y104" t="s">
        <v>11</v>
      </c>
      <c r="Z104" s="3">
        <v>46292</v>
      </c>
      <c r="AA104" s="4">
        <v>0.34440972222221999</v>
      </c>
      <c r="AB104" s="3">
        <v>46292</v>
      </c>
      <c r="AC104" s="3">
        <v>46287</v>
      </c>
      <c r="AD104" t="s">
        <v>0</v>
      </c>
    </row>
    <row r="105" spans="1:30" hidden="1" x14ac:dyDescent="0.2">
      <c r="A105" t="s">
        <v>1</v>
      </c>
      <c r="B105" t="s">
        <v>10</v>
      </c>
      <c r="C105" t="s">
        <v>23</v>
      </c>
      <c r="D105" t="s">
        <v>543</v>
      </c>
      <c r="E105" t="s">
        <v>544</v>
      </c>
      <c r="F105" t="s">
        <v>0</v>
      </c>
      <c r="G105" t="s">
        <v>534</v>
      </c>
      <c r="H105" t="s">
        <v>535</v>
      </c>
      <c r="I105" s="2">
        <v>500</v>
      </c>
      <c r="J105" s="2">
        <v>500</v>
      </c>
      <c r="K105" s="2">
        <f t="shared" si="2"/>
        <v>0</v>
      </c>
      <c r="L105" s="2">
        <f t="shared" ca="1" si="3"/>
        <v>7</v>
      </c>
      <c r="M105" s="2" t="s">
        <v>1082</v>
      </c>
      <c r="N105" t="s">
        <v>54</v>
      </c>
      <c r="O105" s="3">
        <v>46287</v>
      </c>
      <c r="P105" s="3">
        <v>46287</v>
      </c>
      <c r="Q105" s="3">
        <v>46287</v>
      </c>
      <c r="R105" s="3">
        <v>46287</v>
      </c>
      <c r="S105" t="s">
        <v>545</v>
      </c>
      <c r="T105" t="s">
        <v>546</v>
      </c>
      <c r="U105" s="3">
        <v>46291</v>
      </c>
      <c r="V105" s="4">
        <v>0.22287037037037</v>
      </c>
      <c r="W105" s="3">
        <v>46287</v>
      </c>
      <c r="X105" t="s">
        <v>2</v>
      </c>
      <c r="Y105" t="s">
        <v>11</v>
      </c>
      <c r="Z105" s="3">
        <v>46291</v>
      </c>
      <c r="AA105" s="4">
        <v>0.22287037037037</v>
      </c>
      <c r="AB105" s="3">
        <v>46291</v>
      </c>
      <c r="AC105" s="3">
        <v>46287</v>
      </c>
      <c r="AD105" t="s">
        <v>0</v>
      </c>
    </row>
    <row r="106" spans="1:30" hidden="1" x14ac:dyDescent="0.2">
      <c r="A106" t="s">
        <v>1</v>
      </c>
      <c r="B106" t="s">
        <v>10</v>
      </c>
      <c r="C106" t="s">
        <v>23</v>
      </c>
      <c r="D106" t="s">
        <v>547</v>
      </c>
      <c r="E106" t="s">
        <v>548</v>
      </c>
      <c r="F106" t="s">
        <v>0</v>
      </c>
      <c r="G106" t="s">
        <v>549</v>
      </c>
      <c r="H106" t="s">
        <v>550</v>
      </c>
      <c r="I106" s="2">
        <v>500</v>
      </c>
      <c r="J106" s="2">
        <v>500</v>
      </c>
      <c r="K106" s="2">
        <f t="shared" si="2"/>
        <v>0</v>
      </c>
      <c r="L106" s="2">
        <f t="shared" ca="1" si="3"/>
        <v>7</v>
      </c>
      <c r="M106" s="2" t="s">
        <v>1082</v>
      </c>
      <c r="N106" t="s">
        <v>53</v>
      </c>
      <c r="O106" s="3">
        <v>46287</v>
      </c>
      <c r="P106" s="3">
        <v>46287</v>
      </c>
      <c r="Q106" s="3">
        <v>46287</v>
      </c>
      <c r="R106" s="3">
        <v>46287</v>
      </c>
      <c r="S106" t="s">
        <v>551</v>
      </c>
      <c r="T106" t="s">
        <v>552</v>
      </c>
      <c r="U106" s="3">
        <v>46291</v>
      </c>
      <c r="V106" s="4">
        <v>0.60482638888888995</v>
      </c>
      <c r="W106" s="3">
        <v>46287</v>
      </c>
      <c r="X106" t="s">
        <v>2</v>
      </c>
      <c r="Y106" t="s">
        <v>11</v>
      </c>
      <c r="Z106" s="3">
        <v>46291</v>
      </c>
      <c r="AA106" s="4">
        <v>0.85457175925925999</v>
      </c>
      <c r="AB106" s="3">
        <v>46290</v>
      </c>
      <c r="AC106" s="3">
        <v>46287</v>
      </c>
      <c r="AD106" t="s">
        <v>0</v>
      </c>
    </row>
    <row r="107" spans="1:30" hidden="1" x14ac:dyDescent="0.2">
      <c r="A107" t="s">
        <v>1</v>
      </c>
      <c r="B107" t="s">
        <v>10</v>
      </c>
      <c r="C107" t="s">
        <v>23</v>
      </c>
      <c r="D107" t="s">
        <v>553</v>
      </c>
      <c r="E107" t="s">
        <v>554</v>
      </c>
      <c r="F107" t="s">
        <v>0</v>
      </c>
      <c r="G107" t="s">
        <v>440</v>
      </c>
      <c r="H107" t="s">
        <v>441</v>
      </c>
      <c r="I107" s="2">
        <v>500</v>
      </c>
      <c r="J107" s="2">
        <v>500</v>
      </c>
      <c r="K107" s="2">
        <f t="shared" si="2"/>
        <v>0</v>
      </c>
      <c r="L107" s="2">
        <f t="shared" ca="1" si="3"/>
        <v>7</v>
      </c>
      <c r="M107" s="2" t="s">
        <v>1082</v>
      </c>
      <c r="N107" t="s">
        <v>384</v>
      </c>
      <c r="O107" s="3">
        <v>46287</v>
      </c>
      <c r="P107" s="3">
        <v>46287</v>
      </c>
      <c r="Q107" s="3">
        <v>46287</v>
      </c>
      <c r="R107" s="3">
        <v>46287</v>
      </c>
      <c r="S107" t="s">
        <v>555</v>
      </c>
      <c r="T107" t="s">
        <v>556</v>
      </c>
      <c r="U107" s="3">
        <v>46292</v>
      </c>
      <c r="V107" s="4">
        <v>5.1018518518519997E-2</v>
      </c>
      <c r="W107" s="3">
        <v>46287</v>
      </c>
      <c r="X107" t="s">
        <v>2</v>
      </c>
      <c r="Y107" t="s">
        <v>11</v>
      </c>
      <c r="Z107" s="3">
        <v>46292</v>
      </c>
      <c r="AA107" s="4">
        <v>5.1018518518519997E-2</v>
      </c>
      <c r="AB107" s="3">
        <v>46292</v>
      </c>
      <c r="AC107" s="3">
        <v>46287</v>
      </c>
      <c r="AD107" t="s">
        <v>0</v>
      </c>
    </row>
    <row r="108" spans="1:30" hidden="1" x14ac:dyDescent="0.2">
      <c r="A108" t="s">
        <v>1</v>
      </c>
      <c r="B108" t="s">
        <v>10</v>
      </c>
      <c r="C108" t="s">
        <v>23</v>
      </c>
      <c r="D108" t="s">
        <v>557</v>
      </c>
      <c r="E108" t="s">
        <v>558</v>
      </c>
      <c r="F108" t="s">
        <v>0</v>
      </c>
      <c r="G108" t="s">
        <v>559</v>
      </c>
      <c r="H108" t="s">
        <v>560</v>
      </c>
      <c r="I108" s="2">
        <v>500</v>
      </c>
      <c r="J108" s="2">
        <v>500</v>
      </c>
      <c r="K108" s="2">
        <f t="shared" si="2"/>
        <v>0</v>
      </c>
      <c r="L108" s="2">
        <f t="shared" ca="1" si="3"/>
        <v>7</v>
      </c>
      <c r="M108" s="2" t="s">
        <v>1082</v>
      </c>
      <c r="N108" t="s">
        <v>54</v>
      </c>
      <c r="O108" s="3">
        <v>46287</v>
      </c>
      <c r="P108" s="3">
        <v>46287</v>
      </c>
      <c r="Q108" s="3">
        <v>46287</v>
      </c>
      <c r="R108" s="3">
        <v>46287</v>
      </c>
      <c r="S108" t="s">
        <v>561</v>
      </c>
      <c r="T108" t="s">
        <v>562</v>
      </c>
      <c r="U108" s="3">
        <v>46292</v>
      </c>
      <c r="V108" s="4">
        <v>0.76105324074073999</v>
      </c>
      <c r="W108" s="3">
        <v>46287</v>
      </c>
      <c r="X108" t="s">
        <v>2</v>
      </c>
      <c r="Y108" t="s">
        <v>11</v>
      </c>
      <c r="Z108" s="3">
        <v>46292</v>
      </c>
      <c r="AA108" s="4">
        <v>0.76105324074073999</v>
      </c>
      <c r="AB108" s="3">
        <v>46292</v>
      </c>
      <c r="AC108" s="3">
        <v>46287</v>
      </c>
      <c r="AD108" t="s">
        <v>0</v>
      </c>
    </row>
    <row r="109" spans="1:30" hidden="1" x14ac:dyDescent="0.2">
      <c r="A109" t="s">
        <v>1</v>
      </c>
      <c r="B109" t="s">
        <v>10</v>
      </c>
      <c r="C109" t="s">
        <v>23</v>
      </c>
      <c r="D109" t="s">
        <v>563</v>
      </c>
      <c r="E109" t="s">
        <v>564</v>
      </c>
      <c r="F109" t="s">
        <v>0</v>
      </c>
      <c r="G109" t="s">
        <v>565</v>
      </c>
      <c r="H109" t="s">
        <v>566</v>
      </c>
      <c r="I109" s="2">
        <v>500</v>
      </c>
      <c r="J109" s="2">
        <v>0</v>
      </c>
      <c r="K109" s="2">
        <f t="shared" si="2"/>
        <v>500</v>
      </c>
      <c r="L109" s="2">
        <f t="shared" ca="1" si="3"/>
        <v>7</v>
      </c>
      <c r="M109" s="2" t="s">
        <v>1082</v>
      </c>
      <c r="N109" t="s">
        <v>62</v>
      </c>
      <c r="O109" s="3">
        <v>46287</v>
      </c>
      <c r="P109" s="3">
        <v>46287</v>
      </c>
      <c r="Q109" s="3">
        <v>46287</v>
      </c>
      <c r="R109" s="3">
        <v>46287</v>
      </c>
      <c r="S109" t="s">
        <v>567</v>
      </c>
      <c r="T109" t="s">
        <v>568</v>
      </c>
      <c r="U109" s="3"/>
      <c r="V109" s="4">
        <v>0</v>
      </c>
      <c r="W109" s="3">
        <v>46287</v>
      </c>
      <c r="X109" t="s">
        <v>2</v>
      </c>
      <c r="Y109" t="s">
        <v>11</v>
      </c>
      <c r="Z109" s="3"/>
      <c r="AA109" s="4">
        <v>0</v>
      </c>
      <c r="AB109" s="3"/>
      <c r="AC109" s="3">
        <v>46287</v>
      </c>
      <c r="AD109" t="s">
        <v>0</v>
      </c>
    </row>
    <row r="110" spans="1:30" hidden="1" x14ac:dyDescent="0.2">
      <c r="A110" t="s">
        <v>1</v>
      </c>
      <c r="B110" t="s">
        <v>10</v>
      </c>
      <c r="C110" t="s">
        <v>23</v>
      </c>
      <c r="D110" t="s">
        <v>569</v>
      </c>
      <c r="E110" t="s">
        <v>570</v>
      </c>
      <c r="F110" t="s">
        <v>0</v>
      </c>
      <c r="G110" t="s">
        <v>565</v>
      </c>
      <c r="H110" t="s">
        <v>566</v>
      </c>
      <c r="I110" s="2">
        <v>500</v>
      </c>
      <c r="J110" s="2">
        <v>0</v>
      </c>
      <c r="K110" s="2">
        <f t="shared" si="2"/>
        <v>500</v>
      </c>
      <c r="L110" s="2">
        <f t="shared" ca="1" si="3"/>
        <v>7</v>
      </c>
      <c r="M110" s="2" t="s">
        <v>1082</v>
      </c>
      <c r="N110" t="s">
        <v>62</v>
      </c>
      <c r="O110" s="3">
        <v>46287</v>
      </c>
      <c r="P110" s="3">
        <v>46287</v>
      </c>
      <c r="Q110" s="3">
        <v>46287</v>
      </c>
      <c r="R110" s="3">
        <v>46287</v>
      </c>
      <c r="S110" t="s">
        <v>571</v>
      </c>
      <c r="T110" t="s">
        <v>572</v>
      </c>
      <c r="U110" s="3"/>
      <c r="V110" s="4">
        <v>0</v>
      </c>
      <c r="W110" s="3">
        <v>46287</v>
      </c>
      <c r="X110" t="s">
        <v>2</v>
      </c>
      <c r="Y110" t="s">
        <v>11</v>
      </c>
      <c r="Z110" s="3"/>
      <c r="AA110" s="4">
        <v>0</v>
      </c>
      <c r="AB110" s="3"/>
      <c r="AC110" s="3">
        <v>46287</v>
      </c>
      <c r="AD110" t="s">
        <v>0</v>
      </c>
    </row>
    <row r="111" spans="1:30" hidden="1" x14ac:dyDescent="0.2">
      <c r="A111" t="s">
        <v>1</v>
      </c>
      <c r="B111" t="s">
        <v>3</v>
      </c>
      <c r="C111" t="s">
        <v>4</v>
      </c>
      <c r="D111" t="s">
        <v>573</v>
      </c>
      <c r="E111" t="s">
        <v>574</v>
      </c>
      <c r="F111" t="s">
        <v>0</v>
      </c>
      <c r="G111" t="s">
        <v>40</v>
      </c>
      <c r="H111" t="s">
        <v>41</v>
      </c>
      <c r="I111" s="2">
        <v>20</v>
      </c>
      <c r="J111" s="2">
        <v>20</v>
      </c>
      <c r="K111" s="2">
        <f t="shared" si="2"/>
        <v>0</v>
      </c>
      <c r="L111" s="2">
        <f t="shared" ca="1" si="3"/>
        <v>7</v>
      </c>
      <c r="M111" s="2" t="s">
        <v>1082</v>
      </c>
      <c r="N111" t="s">
        <v>89</v>
      </c>
      <c r="O111" s="3">
        <v>46287</v>
      </c>
      <c r="P111" s="3">
        <v>46287</v>
      </c>
      <c r="Q111" s="3">
        <v>46287</v>
      </c>
      <c r="R111" s="3">
        <v>46287</v>
      </c>
      <c r="S111" t="s">
        <v>575</v>
      </c>
      <c r="T111" t="s">
        <v>576</v>
      </c>
      <c r="U111" s="3">
        <v>46291</v>
      </c>
      <c r="V111" s="4">
        <v>0.66071759259259</v>
      </c>
      <c r="W111" s="3">
        <v>46291</v>
      </c>
      <c r="X111" t="s">
        <v>2</v>
      </c>
      <c r="Y111" t="s">
        <v>0</v>
      </c>
      <c r="Z111" s="3"/>
      <c r="AA111" s="4">
        <v>0</v>
      </c>
      <c r="AB111" s="3">
        <v>46291</v>
      </c>
      <c r="AC111" s="3">
        <v>46287</v>
      </c>
      <c r="AD111" t="s">
        <v>0</v>
      </c>
    </row>
    <row r="112" spans="1:30" hidden="1" x14ac:dyDescent="0.2">
      <c r="A112" t="s">
        <v>1</v>
      </c>
      <c r="B112" t="s">
        <v>5</v>
      </c>
      <c r="C112" t="s">
        <v>4</v>
      </c>
      <c r="D112" t="s">
        <v>577</v>
      </c>
      <c r="E112" t="s">
        <v>578</v>
      </c>
      <c r="F112" t="s">
        <v>0</v>
      </c>
      <c r="G112" t="s">
        <v>8</v>
      </c>
      <c r="H112" t="s">
        <v>9</v>
      </c>
      <c r="I112" s="2">
        <v>20</v>
      </c>
      <c r="J112" s="2">
        <v>20</v>
      </c>
      <c r="K112" s="2">
        <f t="shared" si="2"/>
        <v>0</v>
      </c>
      <c r="L112" s="2">
        <f t="shared" ca="1" si="3"/>
        <v>7</v>
      </c>
      <c r="M112" s="2" t="s">
        <v>1082</v>
      </c>
      <c r="N112" t="s">
        <v>89</v>
      </c>
      <c r="O112" s="3">
        <v>46287</v>
      </c>
      <c r="P112" s="3">
        <v>46287</v>
      </c>
      <c r="Q112" s="3">
        <v>46287</v>
      </c>
      <c r="R112" s="3">
        <v>46287</v>
      </c>
      <c r="S112" t="s">
        <v>579</v>
      </c>
      <c r="T112" t="s">
        <v>580</v>
      </c>
      <c r="U112" s="3">
        <v>46291</v>
      </c>
      <c r="V112" s="4">
        <v>0.66157407407406998</v>
      </c>
      <c r="W112" s="3">
        <v>46291</v>
      </c>
      <c r="X112" t="s">
        <v>2</v>
      </c>
      <c r="Y112" t="s">
        <v>0</v>
      </c>
      <c r="Z112" s="3"/>
      <c r="AA112" s="4">
        <v>0</v>
      </c>
      <c r="AB112" s="3">
        <v>46291</v>
      </c>
      <c r="AC112" s="3">
        <v>46287</v>
      </c>
      <c r="AD112" t="s">
        <v>0</v>
      </c>
    </row>
    <row r="113" spans="1:30" hidden="1" x14ac:dyDescent="0.2">
      <c r="A113" t="s">
        <v>1</v>
      </c>
      <c r="B113" t="s">
        <v>5</v>
      </c>
      <c r="C113" t="s">
        <v>4</v>
      </c>
      <c r="D113" t="s">
        <v>581</v>
      </c>
      <c r="E113" t="s">
        <v>582</v>
      </c>
      <c r="F113" t="s">
        <v>0</v>
      </c>
      <c r="G113" t="s">
        <v>6</v>
      </c>
      <c r="H113" t="s">
        <v>7</v>
      </c>
      <c r="I113" s="2">
        <v>20</v>
      </c>
      <c r="J113" s="2">
        <v>20</v>
      </c>
      <c r="K113" s="2">
        <f t="shared" si="2"/>
        <v>0</v>
      </c>
      <c r="L113" s="2">
        <f t="shared" ca="1" si="3"/>
        <v>7</v>
      </c>
      <c r="M113" s="2" t="s">
        <v>1082</v>
      </c>
      <c r="N113" t="s">
        <v>89</v>
      </c>
      <c r="O113" s="3">
        <v>46287</v>
      </c>
      <c r="P113" s="3">
        <v>46287</v>
      </c>
      <c r="Q113" s="3">
        <v>46287</v>
      </c>
      <c r="R113" s="3">
        <v>46287</v>
      </c>
      <c r="S113" t="s">
        <v>583</v>
      </c>
      <c r="T113" t="s">
        <v>584</v>
      </c>
      <c r="U113" s="3">
        <v>46291</v>
      </c>
      <c r="V113" s="4">
        <v>0.66379629629629999</v>
      </c>
      <c r="W113" s="3">
        <v>46287</v>
      </c>
      <c r="X113" t="s">
        <v>2</v>
      </c>
      <c r="Y113" t="s">
        <v>0</v>
      </c>
      <c r="Z113" s="3"/>
      <c r="AA113" s="4">
        <v>0</v>
      </c>
      <c r="AB113" s="3">
        <v>46291</v>
      </c>
      <c r="AC113" s="3">
        <v>46287</v>
      </c>
      <c r="AD113" t="s">
        <v>0</v>
      </c>
    </row>
    <row r="114" spans="1:30" hidden="1" x14ac:dyDescent="0.2">
      <c r="A114" t="s">
        <v>1</v>
      </c>
      <c r="B114" t="s">
        <v>3</v>
      </c>
      <c r="C114" t="s">
        <v>4</v>
      </c>
      <c r="D114" t="s">
        <v>585</v>
      </c>
      <c r="E114" t="s">
        <v>586</v>
      </c>
      <c r="F114" t="s">
        <v>0</v>
      </c>
      <c r="G114" t="s">
        <v>12</v>
      </c>
      <c r="H114" t="s">
        <v>13</v>
      </c>
      <c r="I114" s="2">
        <v>20</v>
      </c>
      <c r="J114" s="2">
        <v>20</v>
      </c>
      <c r="K114" s="2">
        <f t="shared" si="2"/>
        <v>0</v>
      </c>
      <c r="L114" s="2">
        <f t="shared" ca="1" si="3"/>
        <v>7</v>
      </c>
      <c r="M114" s="2" t="s">
        <v>1082</v>
      </c>
      <c r="N114" t="s">
        <v>89</v>
      </c>
      <c r="O114" s="3">
        <v>46287</v>
      </c>
      <c r="P114" s="3">
        <v>46287</v>
      </c>
      <c r="Q114" s="3">
        <v>46287</v>
      </c>
      <c r="R114" s="3">
        <v>46287</v>
      </c>
      <c r="S114" t="s">
        <v>587</v>
      </c>
      <c r="T114" t="s">
        <v>588</v>
      </c>
      <c r="U114" s="3">
        <v>46291</v>
      </c>
      <c r="V114" s="4">
        <v>0.69190972222222002</v>
      </c>
      <c r="W114" s="3">
        <v>46291</v>
      </c>
      <c r="X114" t="s">
        <v>2</v>
      </c>
      <c r="Y114" t="s">
        <v>0</v>
      </c>
      <c r="Z114" s="3"/>
      <c r="AA114" s="4">
        <v>0</v>
      </c>
      <c r="AB114" s="3">
        <v>46291</v>
      </c>
      <c r="AC114" s="3">
        <v>46287</v>
      </c>
      <c r="AD114" t="s">
        <v>0</v>
      </c>
    </row>
    <row r="115" spans="1:30" hidden="1" x14ac:dyDescent="0.2">
      <c r="A115" t="s">
        <v>1</v>
      </c>
      <c r="B115" t="s">
        <v>5</v>
      </c>
      <c r="C115" t="s">
        <v>4</v>
      </c>
      <c r="D115" t="s">
        <v>589</v>
      </c>
      <c r="E115" t="s">
        <v>590</v>
      </c>
      <c r="F115" t="s">
        <v>0</v>
      </c>
      <c r="G115" t="s">
        <v>8</v>
      </c>
      <c r="H115" t="s">
        <v>9</v>
      </c>
      <c r="I115" s="2">
        <v>20</v>
      </c>
      <c r="J115" s="2">
        <v>20</v>
      </c>
      <c r="K115" s="2">
        <f t="shared" si="2"/>
        <v>0</v>
      </c>
      <c r="L115" s="2">
        <f t="shared" ca="1" si="3"/>
        <v>7</v>
      </c>
      <c r="M115" s="2" t="s">
        <v>1082</v>
      </c>
      <c r="N115" t="s">
        <v>89</v>
      </c>
      <c r="O115" s="3">
        <v>46287</v>
      </c>
      <c r="P115" s="3">
        <v>46287</v>
      </c>
      <c r="Q115" s="3">
        <v>46287</v>
      </c>
      <c r="R115" s="3">
        <v>46287</v>
      </c>
      <c r="S115" t="s">
        <v>591</v>
      </c>
      <c r="T115" t="s">
        <v>592</v>
      </c>
      <c r="U115" s="3">
        <v>46291</v>
      </c>
      <c r="V115" s="4">
        <v>0.69495370370370002</v>
      </c>
      <c r="W115" s="3">
        <v>46291</v>
      </c>
      <c r="X115" t="s">
        <v>2</v>
      </c>
      <c r="Y115" t="s">
        <v>0</v>
      </c>
      <c r="Z115" s="3"/>
      <c r="AA115" s="4">
        <v>0</v>
      </c>
      <c r="AB115" s="3">
        <v>46291</v>
      </c>
      <c r="AC115" s="3">
        <v>46287</v>
      </c>
      <c r="AD115" t="s">
        <v>0</v>
      </c>
    </row>
    <row r="116" spans="1:30" hidden="1" x14ac:dyDescent="0.2">
      <c r="A116" t="s">
        <v>1</v>
      </c>
      <c r="B116" t="s">
        <v>5</v>
      </c>
      <c r="C116" t="s">
        <v>4</v>
      </c>
      <c r="D116" t="s">
        <v>593</v>
      </c>
      <c r="E116" t="s">
        <v>594</v>
      </c>
      <c r="F116" t="s">
        <v>0</v>
      </c>
      <c r="G116" t="s">
        <v>6</v>
      </c>
      <c r="H116" t="s">
        <v>7</v>
      </c>
      <c r="I116" s="2">
        <v>20</v>
      </c>
      <c r="J116" s="2">
        <v>20</v>
      </c>
      <c r="K116" s="2">
        <f t="shared" si="2"/>
        <v>0</v>
      </c>
      <c r="L116" s="2">
        <f t="shared" ca="1" si="3"/>
        <v>7</v>
      </c>
      <c r="M116" s="2" t="s">
        <v>1082</v>
      </c>
      <c r="N116" t="s">
        <v>89</v>
      </c>
      <c r="O116" s="3">
        <v>46287</v>
      </c>
      <c r="P116" s="3">
        <v>46287</v>
      </c>
      <c r="Q116" s="3">
        <v>46287</v>
      </c>
      <c r="R116" s="3">
        <v>46287</v>
      </c>
      <c r="S116" t="s">
        <v>595</v>
      </c>
      <c r="T116" t="s">
        <v>596</v>
      </c>
      <c r="U116" s="3">
        <v>46291</v>
      </c>
      <c r="V116" s="4">
        <v>0.69851851851851998</v>
      </c>
      <c r="W116" s="3">
        <v>46287</v>
      </c>
      <c r="X116" t="s">
        <v>2</v>
      </c>
      <c r="Y116" t="s">
        <v>0</v>
      </c>
      <c r="Z116" s="3"/>
      <c r="AA116" s="4">
        <v>0</v>
      </c>
      <c r="AB116" s="3">
        <v>46291</v>
      </c>
      <c r="AC116" s="3">
        <v>46287</v>
      </c>
      <c r="AD116" t="s">
        <v>0</v>
      </c>
    </row>
    <row r="117" spans="1:30" hidden="1" x14ac:dyDescent="0.2">
      <c r="A117" t="s">
        <v>1</v>
      </c>
      <c r="B117" t="s">
        <v>3</v>
      </c>
      <c r="C117" t="s">
        <v>4</v>
      </c>
      <c r="D117" t="s">
        <v>597</v>
      </c>
      <c r="E117" t="s">
        <v>598</v>
      </c>
      <c r="F117" t="s">
        <v>0</v>
      </c>
      <c r="G117" t="s">
        <v>87</v>
      </c>
      <c r="H117" t="s">
        <v>88</v>
      </c>
      <c r="I117" s="2">
        <v>500</v>
      </c>
      <c r="J117" s="2">
        <v>500</v>
      </c>
      <c r="K117" s="2">
        <f t="shared" si="2"/>
        <v>0</v>
      </c>
      <c r="L117" s="2">
        <f t="shared" ca="1" si="3"/>
        <v>6</v>
      </c>
      <c r="M117" s="2" t="s">
        <v>1082</v>
      </c>
      <c r="N117" t="s">
        <v>89</v>
      </c>
      <c r="O117" s="3">
        <v>46287</v>
      </c>
      <c r="P117" s="3">
        <v>46288</v>
      </c>
      <c r="Q117" s="3">
        <v>46288</v>
      </c>
      <c r="R117" s="3">
        <v>46288</v>
      </c>
      <c r="S117" t="s">
        <v>599</v>
      </c>
      <c r="T117" t="s">
        <v>600</v>
      </c>
      <c r="U117" s="3">
        <v>46291</v>
      </c>
      <c r="V117" s="4">
        <v>0.32358796296296</v>
      </c>
      <c r="W117" s="3">
        <v>46289</v>
      </c>
      <c r="X117" t="s">
        <v>2</v>
      </c>
      <c r="Y117" t="s">
        <v>0</v>
      </c>
      <c r="Z117" s="3"/>
      <c r="AA117" s="4">
        <v>0</v>
      </c>
      <c r="AB117" s="3">
        <v>46291</v>
      </c>
      <c r="AC117" s="3">
        <v>46288</v>
      </c>
      <c r="AD117" t="s">
        <v>0</v>
      </c>
    </row>
    <row r="118" spans="1:30" hidden="1" x14ac:dyDescent="0.2">
      <c r="A118" t="s">
        <v>1</v>
      </c>
      <c r="B118" t="s">
        <v>3</v>
      </c>
      <c r="C118" t="s">
        <v>4</v>
      </c>
      <c r="D118" t="s">
        <v>601</v>
      </c>
      <c r="E118" t="s">
        <v>602</v>
      </c>
      <c r="F118" t="s">
        <v>0</v>
      </c>
      <c r="G118" t="s">
        <v>87</v>
      </c>
      <c r="H118" t="s">
        <v>88</v>
      </c>
      <c r="I118" s="2">
        <v>500</v>
      </c>
      <c r="J118" s="2">
        <v>500</v>
      </c>
      <c r="K118" s="2">
        <f t="shared" si="2"/>
        <v>0</v>
      </c>
      <c r="L118" s="2">
        <f t="shared" ca="1" si="3"/>
        <v>6</v>
      </c>
      <c r="M118" s="2" t="s">
        <v>1082</v>
      </c>
      <c r="N118" t="s">
        <v>89</v>
      </c>
      <c r="O118" s="3">
        <v>46287</v>
      </c>
      <c r="P118" s="3">
        <v>46288</v>
      </c>
      <c r="Q118" s="3">
        <v>46288</v>
      </c>
      <c r="R118" s="3">
        <v>46288</v>
      </c>
      <c r="S118" t="s">
        <v>603</v>
      </c>
      <c r="T118" t="s">
        <v>604</v>
      </c>
      <c r="U118" s="3">
        <v>46291</v>
      </c>
      <c r="V118" s="4">
        <v>0.33052083333332999</v>
      </c>
      <c r="W118" s="3">
        <v>46289</v>
      </c>
      <c r="X118" t="s">
        <v>2</v>
      </c>
      <c r="Y118" t="s">
        <v>0</v>
      </c>
      <c r="Z118" s="3"/>
      <c r="AA118" s="4">
        <v>0</v>
      </c>
      <c r="AB118" s="3">
        <v>46291</v>
      </c>
      <c r="AC118" s="3">
        <v>46288</v>
      </c>
      <c r="AD118" t="s">
        <v>0</v>
      </c>
    </row>
    <row r="119" spans="1:30" hidden="1" x14ac:dyDescent="0.2">
      <c r="A119" t="s">
        <v>1</v>
      </c>
      <c r="B119" t="s">
        <v>3</v>
      </c>
      <c r="C119" t="s">
        <v>4</v>
      </c>
      <c r="D119" t="s">
        <v>605</v>
      </c>
      <c r="E119" t="s">
        <v>606</v>
      </c>
      <c r="F119" t="s">
        <v>0</v>
      </c>
      <c r="G119" t="s">
        <v>28</v>
      </c>
      <c r="H119" t="s">
        <v>29</v>
      </c>
      <c r="I119" s="2">
        <v>500</v>
      </c>
      <c r="J119" s="2">
        <v>500</v>
      </c>
      <c r="K119" s="2">
        <f t="shared" si="2"/>
        <v>0</v>
      </c>
      <c r="L119" s="2">
        <f t="shared" ca="1" si="3"/>
        <v>6</v>
      </c>
      <c r="M119" s="2" t="s">
        <v>1082</v>
      </c>
      <c r="N119" t="s">
        <v>89</v>
      </c>
      <c r="O119" s="3">
        <v>46288</v>
      </c>
      <c r="P119" s="3">
        <v>46288</v>
      </c>
      <c r="Q119" s="3">
        <v>46288</v>
      </c>
      <c r="R119" s="3">
        <v>46288</v>
      </c>
      <c r="S119" t="s">
        <v>607</v>
      </c>
      <c r="T119" t="s">
        <v>608</v>
      </c>
      <c r="U119" s="3">
        <v>46293</v>
      </c>
      <c r="V119" s="4">
        <v>0.87600694444444005</v>
      </c>
      <c r="W119" s="3">
        <v>46293</v>
      </c>
      <c r="X119" t="s">
        <v>2</v>
      </c>
      <c r="Y119" t="s">
        <v>0</v>
      </c>
      <c r="Z119" s="3"/>
      <c r="AA119" s="4">
        <v>0</v>
      </c>
      <c r="AB119" s="3">
        <v>46293</v>
      </c>
      <c r="AC119" s="3">
        <v>46288</v>
      </c>
      <c r="AD119" t="s">
        <v>0</v>
      </c>
    </row>
    <row r="120" spans="1:30" hidden="1" x14ac:dyDescent="0.2">
      <c r="A120" t="s">
        <v>1</v>
      </c>
      <c r="B120" t="s">
        <v>5</v>
      </c>
      <c r="C120" t="s">
        <v>4</v>
      </c>
      <c r="D120" t="s">
        <v>609</v>
      </c>
      <c r="E120" t="s">
        <v>610</v>
      </c>
      <c r="F120" t="s">
        <v>0</v>
      </c>
      <c r="G120" t="s">
        <v>30</v>
      </c>
      <c r="H120" t="s">
        <v>31</v>
      </c>
      <c r="I120" s="2">
        <v>500</v>
      </c>
      <c r="J120" s="2">
        <v>396</v>
      </c>
      <c r="K120" s="2">
        <f t="shared" si="2"/>
        <v>104</v>
      </c>
      <c r="L120" s="2">
        <f t="shared" ca="1" si="3"/>
        <v>6</v>
      </c>
      <c r="M120" s="2" t="s">
        <v>1082</v>
      </c>
      <c r="N120" t="s">
        <v>167</v>
      </c>
      <c r="O120" s="3">
        <v>46288</v>
      </c>
      <c r="P120" s="3">
        <v>46288</v>
      </c>
      <c r="Q120" s="3">
        <v>46288</v>
      </c>
      <c r="R120" s="3">
        <v>46288</v>
      </c>
      <c r="S120" t="s">
        <v>611</v>
      </c>
      <c r="T120" t="s">
        <v>612</v>
      </c>
      <c r="U120" s="3">
        <v>46293</v>
      </c>
      <c r="V120" s="4">
        <v>0.87883101851851997</v>
      </c>
      <c r="W120" s="3">
        <v>46288</v>
      </c>
      <c r="X120" t="s">
        <v>2</v>
      </c>
      <c r="Y120" t="s">
        <v>0</v>
      </c>
      <c r="Z120" s="3"/>
      <c r="AA120" s="4">
        <v>0</v>
      </c>
      <c r="AB120" s="3">
        <v>46293</v>
      </c>
      <c r="AC120" s="3">
        <v>46288</v>
      </c>
      <c r="AD120" t="s">
        <v>0</v>
      </c>
    </row>
    <row r="121" spans="1:30" hidden="1" x14ac:dyDescent="0.2">
      <c r="A121" t="s">
        <v>1</v>
      </c>
      <c r="B121" t="s">
        <v>3</v>
      </c>
      <c r="C121" t="s">
        <v>4</v>
      </c>
      <c r="D121" t="s">
        <v>613</v>
      </c>
      <c r="E121" t="s">
        <v>614</v>
      </c>
      <c r="F121" t="s">
        <v>0</v>
      </c>
      <c r="G121" t="s">
        <v>28</v>
      </c>
      <c r="H121" t="s">
        <v>29</v>
      </c>
      <c r="I121" s="2">
        <v>500</v>
      </c>
      <c r="J121" s="2">
        <v>0</v>
      </c>
      <c r="K121" s="2">
        <f t="shared" si="2"/>
        <v>500</v>
      </c>
      <c r="L121" s="2">
        <f t="shared" ca="1" si="3"/>
        <v>6</v>
      </c>
      <c r="M121" s="2" t="s">
        <v>1082</v>
      </c>
      <c r="N121" t="s">
        <v>62</v>
      </c>
      <c r="O121" s="3">
        <v>46288</v>
      </c>
      <c r="P121" s="3">
        <v>46288</v>
      </c>
      <c r="Q121" s="3">
        <v>46288</v>
      </c>
      <c r="R121" s="3">
        <v>46288</v>
      </c>
      <c r="S121" t="s">
        <v>615</v>
      </c>
      <c r="T121" t="s">
        <v>616</v>
      </c>
      <c r="U121" s="3"/>
      <c r="V121" s="4">
        <v>0</v>
      </c>
      <c r="W121" s="3">
        <v>46290</v>
      </c>
      <c r="X121" t="s">
        <v>2</v>
      </c>
      <c r="Y121" t="s">
        <v>0</v>
      </c>
      <c r="Z121" s="3"/>
      <c r="AA121" s="4">
        <v>0</v>
      </c>
      <c r="AB121" s="3"/>
      <c r="AC121" s="3">
        <v>46288</v>
      </c>
      <c r="AD121" t="s">
        <v>0</v>
      </c>
    </row>
    <row r="122" spans="1:30" hidden="1" x14ac:dyDescent="0.2">
      <c r="A122" t="s">
        <v>1</v>
      </c>
      <c r="B122" t="s">
        <v>5</v>
      </c>
      <c r="C122" t="s">
        <v>4</v>
      </c>
      <c r="D122" t="s">
        <v>617</v>
      </c>
      <c r="E122" t="s">
        <v>618</v>
      </c>
      <c r="F122" t="s">
        <v>0</v>
      </c>
      <c r="G122" t="s">
        <v>30</v>
      </c>
      <c r="H122" t="s">
        <v>31</v>
      </c>
      <c r="I122" s="2">
        <v>500</v>
      </c>
      <c r="J122" s="2">
        <v>0</v>
      </c>
      <c r="K122" s="2">
        <f t="shared" si="2"/>
        <v>500</v>
      </c>
      <c r="L122" s="2">
        <f t="shared" ca="1" si="3"/>
        <v>6</v>
      </c>
      <c r="M122" s="2" t="s">
        <v>1082</v>
      </c>
      <c r="N122" t="s">
        <v>160</v>
      </c>
      <c r="O122" s="3">
        <v>46288</v>
      </c>
      <c r="P122" s="3">
        <v>46288</v>
      </c>
      <c r="Q122" s="3">
        <v>46288</v>
      </c>
      <c r="R122" s="3">
        <v>46288</v>
      </c>
      <c r="S122" t="s">
        <v>619</v>
      </c>
      <c r="T122" t="s">
        <v>620</v>
      </c>
      <c r="U122" s="3"/>
      <c r="V122" s="4">
        <v>0</v>
      </c>
      <c r="W122" s="3">
        <v>46288</v>
      </c>
      <c r="X122" t="s">
        <v>2</v>
      </c>
      <c r="Y122" t="s">
        <v>0</v>
      </c>
      <c r="Z122" s="3"/>
      <c r="AA122" s="4">
        <v>0</v>
      </c>
      <c r="AB122" s="3"/>
      <c r="AC122" s="3">
        <v>46288</v>
      </c>
      <c r="AD122" t="s">
        <v>0</v>
      </c>
    </row>
    <row r="123" spans="1:30" hidden="1" x14ac:dyDescent="0.2">
      <c r="A123" t="s">
        <v>1</v>
      </c>
      <c r="B123" t="s">
        <v>3</v>
      </c>
      <c r="C123" t="s">
        <v>4</v>
      </c>
      <c r="D123" t="s">
        <v>621</v>
      </c>
      <c r="E123" t="s">
        <v>622</v>
      </c>
      <c r="F123" t="s">
        <v>0</v>
      </c>
      <c r="G123" t="s">
        <v>28</v>
      </c>
      <c r="H123" t="s">
        <v>29</v>
      </c>
      <c r="I123" s="2">
        <v>100</v>
      </c>
      <c r="J123" s="2">
        <v>0</v>
      </c>
      <c r="K123" s="2">
        <f t="shared" si="2"/>
        <v>100</v>
      </c>
      <c r="L123" s="2">
        <f t="shared" ca="1" si="3"/>
        <v>6</v>
      </c>
      <c r="M123" s="2" t="s">
        <v>1082</v>
      </c>
      <c r="N123" t="s">
        <v>62</v>
      </c>
      <c r="O123" s="3">
        <v>46288</v>
      </c>
      <c r="P123" s="3">
        <v>46288</v>
      </c>
      <c r="Q123" s="3">
        <v>46288</v>
      </c>
      <c r="R123" s="3">
        <v>46288</v>
      </c>
      <c r="S123" t="s">
        <v>623</v>
      </c>
      <c r="T123" t="s">
        <v>624</v>
      </c>
      <c r="U123" s="3"/>
      <c r="V123" s="4">
        <v>0</v>
      </c>
      <c r="W123" s="3">
        <v>46290</v>
      </c>
      <c r="X123" t="s">
        <v>2</v>
      </c>
      <c r="Y123" t="s">
        <v>0</v>
      </c>
      <c r="Z123" s="3"/>
      <c r="AA123" s="4">
        <v>0</v>
      </c>
      <c r="AB123" s="3"/>
      <c r="AC123" s="3">
        <v>46288</v>
      </c>
      <c r="AD123" t="s">
        <v>0</v>
      </c>
    </row>
    <row r="124" spans="1:30" hidden="1" x14ac:dyDescent="0.2">
      <c r="A124" t="s">
        <v>1</v>
      </c>
      <c r="B124" t="s">
        <v>5</v>
      </c>
      <c r="C124" t="s">
        <v>4</v>
      </c>
      <c r="D124" t="s">
        <v>625</v>
      </c>
      <c r="E124" t="s">
        <v>626</v>
      </c>
      <c r="F124" t="s">
        <v>0</v>
      </c>
      <c r="G124" t="s">
        <v>30</v>
      </c>
      <c r="H124" t="s">
        <v>31</v>
      </c>
      <c r="I124" s="2">
        <v>100</v>
      </c>
      <c r="J124" s="2">
        <v>0</v>
      </c>
      <c r="K124" s="2">
        <f t="shared" si="2"/>
        <v>100</v>
      </c>
      <c r="L124" s="2">
        <f t="shared" ca="1" si="3"/>
        <v>6</v>
      </c>
      <c r="M124" s="2" t="s">
        <v>1082</v>
      </c>
      <c r="N124" t="s">
        <v>160</v>
      </c>
      <c r="O124" s="3">
        <v>46288</v>
      </c>
      <c r="P124" s="3">
        <v>46288</v>
      </c>
      <c r="Q124" s="3">
        <v>46288</v>
      </c>
      <c r="R124" s="3">
        <v>46288</v>
      </c>
      <c r="S124" t="s">
        <v>627</v>
      </c>
      <c r="T124" t="s">
        <v>628</v>
      </c>
      <c r="U124" s="3"/>
      <c r="V124" s="4">
        <v>0</v>
      </c>
      <c r="W124" s="3">
        <v>46288</v>
      </c>
      <c r="X124" t="s">
        <v>2</v>
      </c>
      <c r="Y124" t="s">
        <v>0</v>
      </c>
      <c r="Z124" s="3"/>
      <c r="AA124" s="4">
        <v>0</v>
      </c>
      <c r="AB124" s="3"/>
      <c r="AC124" s="3">
        <v>46288</v>
      </c>
      <c r="AD124" t="s">
        <v>0</v>
      </c>
    </row>
    <row r="125" spans="1:30" hidden="1" x14ac:dyDescent="0.2">
      <c r="A125" t="s">
        <v>1</v>
      </c>
      <c r="B125" t="s">
        <v>3</v>
      </c>
      <c r="C125" t="s">
        <v>4</v>
      </c>
      <c r="D125" t="s">
        <v>629</v>
      </c>
      <c r="E125" t="s">
        <v>630</v>
      </c>
      <c r="F125" t="s">
        <v>0</v>
      </c>
      <c r="G125" t="s">
        <v>32</v>
      </c>
      <c r="H125" t="s">
        <v>33</v>
      </c>
      <c r="I125" s="2">
        <v>500</v>
      </c>
      <c r="J125" s="2">
        <v>0</v>
      </c>
      <c r="K125" s="2">
        <f t="shared" si="2"/>
        <v>500</v>
      </c>
      <c r="L125" s="2">
        <f t="shared" ca="1" si="3"/>
        <v>6</v>
      </c>
      <c r="M125" s="2" t="s">
        <v>1082</v>
      </c>
      <c r="N125" t="s">
        <v>62</v>
      </c>
      <c r="O125" s="3">
        <v>46288</v>
      </c>
      <c r="P125" s="3">
        <v>46288</v>
      </c>
      <c r="Q125" s="3">
        <v>46288</v>
      </c>
      <c r="R125" s="3">
        <v>46288</v>
      </c>
      <c r="S125" t="s">
        <v>631</v>
      </c>
      <c r="T125" t="s">
        <v>632</v>
      </c>
      <c r="U125" s="3"/>
      <c r="V125" s="4">
        <v>0</v>
      </c>
      <c r="W125" s="3">
        <v>46288</v>
      </c>
      <c r="X125" t="s">
        <v>2</v>
      </c>
      <c r="Y125" t="s">
        <v>0</v>
      </c>
      <c r="Z125" s="3"/>
      <c r="AA125" s="4">
        <v>0</v>
      </c>
      <c r="AB125" s="3"/>
      <c r="AC125" s="3">
        <v>46288</v>
      </c>
      <c r="AD125" t="s">
        <v>0</v>
      </c>
    </row>
    <row r="126" spans="1:30" hidden="1" x14ac:dyDescent="0.2">
      <c r="A126" t="s">
        <v>1</v>
      </c>
      <c r="B126" t="s">
        <v>5</v>
      </c>
      <c r="C126" t="s">
        <v>4</v>
      </c>
      <c r="D126" t="s">
        <v>633</v>
      </c>
      <c r="E126" t="s">
        <v>634</v>
      </c>
      <c r="F126" t="s">
        <v>0</v>
      </c>
      <c r="G126" t="s">
        <v>30</v>
      </c>
      <c r="H126" t="s">
        <v>31</v>
      </c>
      <c r="I126" s="2">
        <v>500</v>
      </c>
      <c r="J126" s="2">
        <v>0</v>
      </c>
      <c r="K126" s="2">
        <f t="shared" si="2"/>
        <v>500</v>
      </c>
      <c r="L126" s="2">
        <f t="shared" ca="1" si="3"/>
        <v>6</v>
      </c>
      <c r="M126" s="2" t="s">
        <v>1082</v>
      </c>
      <c r="N126" t="s">
        <v>160</v>
      </c>
      <c r="O126" s="3">
        <v>46288</v>
      </c>
      <c r="P126" s="3">
        <v>46288</v>
      </c>
      <c r="Q126" s="3">
        <v>46288</v>
      </c>
      <c r="R126" s="3">
        <v>46288</v>
      </c>
      <c r="S126" t="s">
        <v>635</v>
      </c>
      <c r="T126" t="s">
        <v>636</v>
      </c>
      <c r="U126" s="3"/>
      <c r="V126" s="4">
        <v>0</v>
      </c>
      <c r="W126" s="3">
        <v>46288</v>
      </c>
      <c r="X126" t="s">
        <v>2</v>
      </c>
      <c r="Y126" t="s">
        <v>0</v>
      </c>
      <c r="Z126" s="3"/>
      <c r="AA126" s="4">
        <v>0</v>
      </c>
      <c r="AB126" s="3"/>
      <c r="AC126" s="3">
        <v>46288</v>
      </c>
      <c r="AD126" t="s">
        <v>0</v>
      </c>
    </row>
    <row r="127" spans="1:30" hidden="1" x14ac:dyDescent="0.2">
      <c r="A127" t="s">
        <v>1</v>
      </c>
      <c r="B127" t="s">
        <v>3</v>
      </c>
      <c r="C127" t="s">
        <v>4</v>
      </c>
      <c r="D127" t="s">
        <v>637</v>
      </c>
      <c r="E127" t="s">
        <v>638</v>
      </c>
      <c r="F127" t="s">
        <v>0</v>
      </c>
      <c r="G127" t="s">
        <v>32</v>
      </c>
      <c r="H127" t="s">
        <v>33</v>
      </c>
      <c r="I127" s="2">
        <v>400</v>
      </c>
      <c r="J127" s="2">
        <v>398</v>
      </c>
      <c r="K127" s="2">
        <f t="shared" si="2"/>
        <v>2</v>
      </c>
      <c r="L127" s="2">
        <f t="shared" ca="1" si="3"/>
        <v>6</v>
      </c>
      <c r="M127" s="2" t="s">
        <v>1082</v>
      </c>
      <c r="N127" t="s">
        <v>167</v>
      </c>
      <c r="O127" s="3">
        <v>46288</v>
      </c>
      <c r="P127" s="3">
        <v>46288</v>
      </c>
      <c r="Q127" s="3">
        <v>46288</v>
      </c>
      <c r="R127" s="3">
        <v>46288</v>
      </c>
      <c r="S127" t="s">
        <v>639</v>
      </c>
      <c r="T127" t="s">
        <v>640</v>
      </c>
      <c r="U127" s="3">
        <v>46293</v>
      </c>
      <c r="V127" s="4">
        <v>0.90699074074074004</v>
      </c>
      <c r="W127" s="3">
        <v>46293</v>
      </c>
      <c r="X127" t="s">
        <v>2</v>
      </c>
      <c r="Y127" t="s">
        <v>0</v>
      </c>
      <c r="Z127" s="3"/>
      <c r="AA127" s="4">
        <v>0</v>
      </c>
      <c r="AB127" s="3">
        <v>46293</v>
      </c>
      <c r="AC127" s="3">
        <v>46288</v>
      </c>
      <c r="AD127" t="s">
        <v>0</v>
      </c>
    </row>
    <row r="128" spans="1:30" hidden="1" x14ac:dyDescent="0.2">
      <c r="A128" t="s">
        <v>1</v>
      </c>
      <c r="B128" t="s">
        <v>5</v>
      </c>
      <c r="C128" t="s">
        <v>4</v>
      </c>
      <c r="D128" t="s">
        <v>641</v>
      </c>
      <c r="E128" t="s">
        <v>642</v>
      </c>
      <c r="F128" t="s">
        <v>0</v>
      </c>
      <c r="G128" t="s">
        <v>30</v>
      </c>
      <c r="H128" t="s">
        <v>31</v>
      </c>
      <c r="I128" s="2">
        <v>400</v>
      </c>
      <c r="J128" s="2">
        <v>386</v>
      </c>
      <c r="K128" s="2">
        <f t="shared" si="2"/>
        <v>14</v>
      </c>
      <c r="L128" s="2">
        <f t="shared" ca="1" si="3"/>
        <v>6</v>
      </c>
      <c r="M128" s="2" t="s">
        <v>1082</v>
      </c>
      <c r="N128" t="s">
        <v>167</v>
      </c>
      <c r="O128" s="3">
        <v>46288</v>
      </c>
      <c r="P128" s="3">
        <v>46288</v>
      </c>
      <c r="Q128" s="3">
        <v>46288</v>
      </c>
      <c r="R128" s="3">
        <v>46288</v>
      </c>
      <c r="S128" t="s">
        <v>643</v>
      </c>
      <c r="T128" t="s">
        <v>644</v>
      </c>
      <c r="U128" s="3">
        <v>46293</v>
      </c>
      <c r="V128" s="4">
        <v>0.89994212962963005</v>
      </c>
      <c r="W128" s="3">
        <v>46288</v>
      </c>
      <c r="X128" t="s">
        <v>2</v>
      </c>
      <c r="Y128" t="s">
        <v>0</v>
      </c>
      <c r="Z128" s="3"/>
      <c r="AA128" s="4">
        <v>0</v>
      </c>
      <c r="AB128" s="3">
        <v>46293</v>
      </c>
      <c r="AC128" s="3">
        <v>46288</v>
      </c>
      <c r="AD128" t="s">
        <v>0</v>
      </c>
    </row>
    <row r="129" spans="1:30" hidden="1" x14ac:dyDescent="0.2">
      <c r="A129" t="s">
        <v>1</v>
      </c>
      <c r="B129" t="s">
        <v>10</v>
      </c>
      <c r="C129" t="s">
        <v>23</v>
      </c>
      <c r="D129" t="s">
        <v>645</v>
      </c>
      <c r="E129" t="s">
        <v>646</v>
      </c>
      <c r="F129" t="s">
        <v>0</v>
      </c>
      <c r="G129" t="s">
        <v>647</v>
      </c>
      <c r="H129" t="s">
        <v>648</v>
      </c>
      <c r="I129" s="2">
        <v>300</v>
      </c>
      <c r="J129" s="2">
        <v>300</v>
      </c>
      <c r="K129" s="2">
        <f t="shared" si="2"/>
        <v>0</v>
      </c>
      <c r="L129" s="2">
        <f t="shared" ca="1" si="3"/>
        <v>6</v>
      </c>
      <c r="M129" s="2" t="s">
        <v>1082</v>
      </c>
      <c r="N129" t="s">
        <v>53</v>
      </c>
      <c r="O129" s="3">
        <v>46288</v>
      </c>
      <c r="P129" s="3">
        <v>46288</v>
      </c>
      <c r="Q129" s="3">
        <v>46288</v>
      </c>
      <c r="R129" s="3">
        <v>46288</v>
      </c>
      <c r="S129" t="s">
        <v>649</v>
      </c>
      <c r="T129" t="s">
        <v>650</v>
      </c>
      <c r="U129" s="3">
        <v>46292</v>
      </c>
      <c r="V129" s="4">
        <v>0.46583333333332999</v>
      </c>
      <c r="W129" s="3">
        <v>46288</v>
      </c>
      <c r="X129" t="s">
        <v>2</v>
      </c>
      <c r="Y129" t="s">
        <v>11</v>
      </c>
      <c r="Z129" s="3">
        <v>46292</v>
      </c>
      <c r="AA129" s="4">
        <v>0.46583333333332999</v>
      </c>
      <c r="AB129" s="3">
        <v>46292</v>
      </c>
      <c r="AC129" s="3">
        <v>46288</v>
      </c>
      <c r="AD129" t="s">
        <v>0</v>
      </c>
    </row>
    <row r="130" spans="1:30" hidden="1" x14ac:dyDescent="0.2">
      <c r="A130" t="s">
        <v>1</v>
      </c>
      <c r="B130" t="s">
        <v>10</v>
      </c>
      <c r="C130" t="s">
        <v>23</v>
      </c>
      <c r="D130" t="s">
        <v>651</v>
      </c>
      <c r="E130" t="s">
        <v>652</v>
      </c>
      <c r="F130" t="s">
        <v>0</v>
      </c>
      <c r="G130" t="s">
        <v>647</v>
      </c>
      <c r="H130" t="s">
        <v>648</v>
      </c>
      <c r="I130" s="2">
        <v>300</v>
      </c>
      <c r="J130" s="2">
        <v>300</v>
      </c>
      <c r="K130" s="2">
        <f t="shared" si="2"/>
        <v>0</v>
      </c>
      <c r="L130" s="2">
        <f t="shared" ca="1" si="3"/>
        <v>6</v>
      </c>
      <c r="M130" s="2" t="s">
        <v>1082</v>
      </c>
      <c r="N130" t="s">
        <v>53</v>
      </c>
      <c r="O130" s="3">
        <v>46288</v>
      </c>
      <c r="P130" s="3">
        <v>46288</v>
      </c>
      <c r="Q130" s="3">
        <v>46288</v>
      </c>
      <c r="R130" s="3">
        <v>46288</v>
      </c>
      <c r="S130" t="s">
        <v>653</v>
      </c>
      <c r="T130" t="s">
        <v>654</v>
      </c>
      <c r="U130" s="3">
        <v>46292</v>
      </c>
      <c r="V130" s="4">
        <v>0.19515046296295999</v>
      </c>
      <c r="W130" s="3">
        <v>46288</v>
      </c>
      <c r="X130" t="s">
        <v>2</v>
      </c>
      <c r="Y130" t="s">
        <v>11</v>
      </c>
      <c r="Z130" s="3">
        <v>46292</v>
      </c>
      <c r="AA130" s="4">
        <v>0.19515046296295999</v>
      </c>
      <c r="AB130" s="3">
        <v>46292</v>
      </c>
      <c r="AC130" s="3">
        <v>46288</v>
      </c>
      <c r="AD130" t="s">
        <v>0</v>
      </c>
    </row>
    <row r="131" spans="1:30" hidden="1" x14ac:dyDescent="0.2">
      <c r="A131" t="s">
        <v>1</v>
      </c>
      <c r="B131" t="s">
        <v>24</v>
      </c>
      <c r="C131" t="s">
        <v>23</v>
      </c>
      <c r="D131" t="s">
        <v>655</v>
      </c>
      <c r="E131" t="s">
        <v>656</v>
      </c>
      <c r="F131" t="s">
        <v>0</v>
      </c>
      <c r="G131" t="s">
        <v>26</v>
      </c>
      <c r="H131" t="s">
        <v>14</v>
      </c>
      <c r="I131" s="2">
        <v>50</v>
      </c>
      <c r="J131" s="2">
        <v>50</v>
      </c>
      <c r="K131" s="2">
        <f t="shared" ref="K131:K194" si="4">I131-J131</f>
        <v>0</v>
      </c>
      <c r="L131" s="2">
        <f t="shared" ref="L131:L194" ca="1" si="5">TODAY()-P131</f>
        <v>6</v>
      </c>
      <c r="M131" s="2" t="s">
        <v>1082</v>
      </c>
      <c r="N131" t="s">
        <v>90</v>
      </c>
      <c r="O131" s="3">
        <v>46288</v>
      </c>
      <c r="P131" s="3">
        <v>46288</v>
      </c>
      <c r="Q131" s="3">
        <v>46288</v>
      </c>
      <c r="R131" s="3">
        <v>46288</v>
      </c>
      <c r="S131" t="s">
        <v>657</v>
      </c>
      <c r="T131" t="s">
        <v>658</v>
      </c>
      <c r="U131" s="3">
        <v>46294</v>
      </c>
      <c r="V131" s="4">
        <v>9.4849537037039994E-2</v>
      </c>
      <c r="W131" s="3">
        <v>46288</v>
      </c>
      <c r="X131" t="s">
        <v>2</v>
      </c>
      <c r="Y131" t="s">
        <v>11</v>
      </c>
      <c r="Z131" s="3"/>
      <c r="AA131" s="4">
        <v>0</v>
      </c>
      <c r="AB131" s="3">
        <v>46294</v>
      </c>
      <c r="AC131" s="3">
        <v>46288</v>
      </c>
      <c r="AD131" t="s">
        <v>0</v>
      </c>
    </row>
    <row r="132" spans="1:30" hidden="1" x14ac:dyDescent="0.2">
      <c r="A132" t="s">
        <v>1</v>
      </c>
      <c r="B132" t="s">
        <v>10</v>
      </c>
      <c r="C132" t="s">
        <v>23</v>
      </c>
      <c r="D132" t="s">
        <v>659</v>
      </c>
      <c r="E132" t="s">
        <v>660</v>
      </c>
      <c r="F132" t="s">
        <v>0</v>
      </c>
      <c r="G132" t="s">
        <v>440</v>
      </c>
      <c r="H132" t="s">
        <v>441</v>
      </c>
      <c r="I132" s="2">
        <v>500</v>
      </c>
      <c r="J132" s="2">
        <v>500</v>
      </c>
      <c r="K132" s="2">
        <f t="shared" si="4"/>
        <v>0</v>
      </c>
      <c r="L132" s="2">
        <f t="shared" ca="1" si="5"/>
        <v>6</v>
      </c>
      <c r="M132" s="2" t="s">
        <v>1082</v>
      </c>
      <c r="N132" t="s">
        <v>489</v>
      </c>
      <c r="O132" s="3">
        <v>46288</v>
      </c>
      <c r="P132" s="3">
        <v>46288</v>
      </c>
      <c r="Q132" s="3">
        <v>46288</v>
      </c>
      <c r="R132" s="3">
        <v>46288</v>
      </c>
      <c r="S132" t="s">
        <v>661</v>
      </c>
      <c r="T132" t="s">
        <v>662</v>
      </c>
      <c r="U132" s="3">
        <v>46293</v>
      </c>
      <c r="V132" s="4">
        <v>0.89275462962963004</v>
      </c>
      <c r="W132" s="3">
        <v>46288</v>
      </c>
      <c r="X132" t="s">
        <v>2</v>
      </c>
      <c r="Y132" t="s">
        <v>11</v>
      </c>
      <c r="Z132" s="3"/>
      <c r="AA132" s="4">
        <v>0</v>
      </c>
      <c r="AB132" s="3">
        <v>46293</v>
      </c>
      <c r="AC132" s="3">
        <v>46288</v>
      </c>
      <c r="AD132" t="s">
        <v>0</v>
      </c>
    </row>
    <row r="133" spans="1:30" hidden="1" x14ac:dyDescent="0.2">
      <c r="A133" t="s">
        <v>1</v>
      </c>
      <c r="B133" t="s">
        <v>10</v>
      </c>
      <c r="C133" t="s">
        <v>23</v>
      </c>
      <c r="D133" t="s">
        <v>663</v>
      </c>
      <c r="E133" t="s">
        <v>664</v>
      </c>
      <c r="F133" t="s">
        <v>0</v>
      </c>
      <c r="G133" t="s">
        <v>565</v>
      </c>
      <c r="H133" t="s">
        <v>566</v>
      </c>
      <c r="I133" s="2">
        <v>500</v>
      </c>
      <c r="J133" s="2">
        <v>500</v>
      </c>
      <c r="K133" s="2">
        <f t="shared" si="4"/>
        <v>0</v>
      </c>
      <c r="L133" s="2">
        <f t="shared" ca="1" si="5"/>
        <v>6</v>
      </c>
      <c r="M133" s="2" t="s">
        <v>1082</v>
      </c>
      <c r="N133" t="s">
        <v>89</v>
      </c>
      <c r="O133" s="3">
        <v>46288</v>
      </c>
      <c r="P133" s="3">
        <v>46288</v>
      </c>
      <c r="Q133" s="3">
        <v>46288</v>
      </c>
      <c r="R133" s="3">
        <v>46288</v>
      </c>
      <c r="S133" t="s">
        <v>665</v>
      </c>
      <c r="T133" t="s">
        <v>666</v>
      </c>
      <c r="U133" s="3">
        <v>46291</v>
      </c>
      <c r="V133" s="4">
        <v>0.74021990740740995</v>
      </c>
      <c r="W133" s="3">
        <v>46288</v>
      </c>
      <c r="X133" t="s">
        <v>2</v>
      </c>
      <c r="Y133" t="s">
        <v>11</v>
      </c>
      <c r="Z133" s="3"/>
      <c r="AA133" s="4">
        <v>0</v>
      </c>
      <c r="AB133" s="3">
        <v>46291</v>
      </c>
      <c r="AC133" s="3">
        <v>46288</v>
      </c>
      <c r="AD133" t="s">
        <v>0</v>
      </c>
    </row>
    <row r="134" spans="1:30" hidden="1" x14ac:dyDescent="0.2">
      <c r="A134" t="s">
        <v>1</v>
      </c>
      <c r="B134" t="s">
        <v>10</v>
      </c>
      <c r="C134" t="s">
        <v>23</v>
      </c>
      <c r="D134" t="s">
        <v>667</v>
      </c>
      <c r="E134" t="s">
        <v>668</v>
      </c>
      <c r="F134" t="s">
        <v>0</v>
      </c>
      <c r="G134" t="s">
        <v>44</v>
      </c>
      <c r="H134" t="s">
        <v>35</v>
      </c>
      <c r="I134" s="2">
        <v>150</v>
      </c>
      <c r="J134" s="2">
        <v>150</v>
      </c>
      <c r="K134" s="2">
        <f t="shared" si="4"/>
        <v>0</v>
      </c>
      <c r="L134" s="2">
        <f t="shared" ca="1" si="5"/>
        <v>6</v>
      </c>
      <c r="M134" s="2" t="s">
        <v>1082</v>
      </c>
      <c r="N134" t="s">
        <v>53</v>
      </c>
      <c r="O134" s="3">
        <v>46288</v>
      </c>
      <c r="P134" s="3">
        <v>46288</v>
      </c>
      <c r="Q134" s="3">
        <v>46288</v>
      </c>
      <c r="R134" s="3">
        <v>46288</v>
      </c>
      <c r="S134" t="s">
        <v>669</v>
      </c>
      <c r="T134" t="s">
        <v>670</v>
      </c>
      <c r="U134" s="3">
        <v>46293</v>
      </c>
      <c r="V134" s="4">
        <v>0.45209490740740998</v>
      </c>
      <c r="W134" s="3">
        <v>46288</v>
      </c>
      <c r="X134" t="s">
        <v>2</v>
      </c>
      <c r="Y134" t="s">
        <v>11</v>
      </c>
      <c r="Z134" s="3">
        <v>46293</v>
      </c>
      <c r="AA134" s="4">
        <v>0.45209490740740998</v>
      </c>
      <c r="AB134" s="3">
        <v>46293</v>
      </c>
      <c r="AC134" s="3">
        <v>46288</v>
      </c>
      <c r="AD134" t="s">
        <v>0</v>
      </c>
    </row>
    <row r="135" spans="1:30" hidden="1" x14ac:dyDescent="0.2">
      <c r="A135" t="s">
        <v>1</v>
      </c>
      <c r="B135" t="s">
        <v>3</v>
      </c>
      <c r="C135" t="s">
        <v>4</v>
      </c>
      <c r="D135" t="s">
        <v>671</v>
      </c>
      <c r="E135" t="s">
        <v>672</v>
      </c>
      <c r="F135" t="s">
        <v>0</v>
      </c>
      <c r="G135" t="s">
        <v>15</v>
      </c>
      <c r="H135" t="s">
        <v>16</v>
      </c>
      <c r="I135" s="2">
        <v>500</v>
      </c>
      <c r="J135" s="2">
        <v>0</v>
      </c>
      <c r="K135" s="2">
        <f t="shared" si="4"/>
        <v>500</v>
      </c>
      <c r="L135" s="2">
        <f t="shared" ca="1" si="5"/>
        <v>2</v>
      </c>
      <c r="M135" s="2" t="s">
        <v>1081</v>
      </c>
      <c r="N135" t="s">
        <v>62</v>
      </c>
      <c r="O135" s="3">
        <v>46289</v>
      </c>
      <c r="P135" s="3">
        <v>46292</v>
      </c>
      <c r="Q135" s="3">
        <v>46292</v>
      </c>
      <c r="R135" s="3">
        <v>46292</v>
      </c>
      <c r="S135" t="s">
        <v>673</v>
      </c>
      <c r="T135" t="s">
        <v>674</v>
      </c>
      <c r="U135" s="3"/>
      <c r="V135" s="4">
        <v>0</v>
      </c>
      <c r="W135" s="3">
        <v>46293</v>
      </c>
      <c r="X135" t="s">
        <v>2</v>
      </c>
      <c r="Y135" t="s">
        <v>0</v>
      </c>
      <c r="Z135" s="3"/>
      <c r="AA135" s="4">
        <v>0</v>
      </c>
      <c r="AB135" s="3"/>
      <c r="AC135" s="3">
        <v>46292</v>
      </c>
      <c r="AD135" t="s">
        <v>0</v>
      </c>
    </row>
    <row r="136" spans="1:30" hidden="1" x14ac:dyDescent="0.2">
      <c r="A136" t="s">
        <v>1</v>
      </c>
      <c r="B136" t="s">
        <v>5</v>
      </c>
      <c r="C136" t="s">
        <v>4</v>
      </c>
      <c r="D136" t="s">
        <v>675</v>
      </c>
      <c r="E136" t="s">
        <v>676</v>
      </c>
      <c r="F136" t="s">
        <v>0</v>
      </c>
      <c r="G136" t="s">
        <v>17</v>
      </c>
      <c r="H136" t="s">
        <v>18</v>
      </c>
      <c r="I136" s="2">
        <v>500</v>
      </c>
      <c r="J136" s="2">
        <v>488</v>
      </c>
      <c r="K136" s="2">
        <f t="shared" si="4"/>
        <v>12</v>
      </c>
      <c r="L136" s="2">
        <f t="shared" ca="1" si="5"/>
        <v>5</v>
      </c>
      <c r="M136" s="2" t="s">
        <v>1082</v>
      </c>
      <c r="N136" t="s">
        <v>167</v>
      </c>
      <c r="O136" s="3">
        <v>46289</v>
      </c>
      <c r="P136" s="3">
        <v>46289</v>
      </c>
      <c r="Q136" s="3">
        <v>46289</v>
      </c>
      <c r="R136" s="3">
        <v>46289</v>
      </c>
      <c r="S136" t="s">
        <v>677</v>
      </c>
      <c r="T136" t="s">
        <v>678</v>
      </c>
      <c r="U136" s="3">
        <v>46293</v>
      </c>
      <c r="V136" s="4">
        <v>0.71909722222221995</v>
      </c>
      <c r="W136" s="3">
        <v>46289</v>
      </c>
      <c r="X136" t="s">
        <v>2</v>
      </c>
      <c r="Y136" t="s">
        <v>0</v>
      </c>
      <c r="Z136" s="3"/>
      <c r="AA136" s="4">
        <v>0</v>
      </c>
      <c r="AB136" s="3">
        <v>46293</v>
      </c>
      <c r="AC136" s="3">
        <v>46289</v>
      </c>
      <c r="AD136" t="s">
        <v>0</v>
      </c>
    </row>
    <row r="137" spans="1:30" hidden="1" x14ac:dyDescent="0.2">
      <c r="A137" t="s">
        <v>1</v>
      </c>
      <c r="B137" t="s">
        <v>5</v>
      </c>
      <c r="C137" t="s">
        <v>4</v>
      </c>
      <c r="D137" t="s">
        <v>679</v>
      </c>
      <c r="E137" t="s">
        <v>680</v>
      </c>
      <c r="F137" t="s">
        <v>0</v>
      </c>
      <c r="G137" t="s">
        <v>19</v>
      </c>
      <c r="H137" t="s">
        <v>20</v>
      </c>
      <c r="I137" s="2">
        <v>500</v>
      </c>
      <c r="J137" s="2">
        <v>488</v>
      </c>
      <c r="K137" s="2">
        <f t="shared" si="4"/>
        <v>12</v>
      </c>
      <c r="L137" s="2">
        <f t="shared" ca="1" si="5"/>
        <v>5</v>
      </c>
      <c r="M137" s="2" t="s">
        <v>1082</v>
      </c>
      <c r="N137" t="s">
        <v>167</v>
      </c>
      <c r="O137" s="3">
        <v>46289</v>
      </c>
      <c r="P137" s="3">
        <v>46289</v>
      </c>
      <c r="Q137" s="3">
        <v>46289</v>
      </c>
      <c r="R137" s="3">
        <v>46289</v>
      </c>
      <c r="S137" t="s">
        <v>681</v>
      </c>
      <c r="T137" t="s">
        <v>682</v>
      </c>
      <c r="U137" s="3">
        <v>46293</v>
      </c>
      <c r="V137" s="4">
        <v>0.72288194444443998</v>
      </c>
      <c r="W137" s="3">
        <v>46289</v>
      </c>
      <c r="X137" t="s">
        <v>2</v>
      </c>
      <c r="Y137" t="s">
        <v>0</v>
      </c>
      <c r="Z137" s="3"/>
      <c r="AA137" s="4">
        <v>0</v>
      </c>
      <c r="AB137" s="3">
        <v>46293</v>
      </c>
      <c r="AC137" s="3">
        <v>46289</v>
      </c>
      <c r="AD137" t="s">
        <v>0</v>
      </c>
    </row>
    <row r="138" spans="1:30" hidden="1" x14ac:dyDescent="0.2">
      <c r="A138" t="s">
        <v>1</v>
      </c>
      <c r="B138" t="s">
        <v>5</v>
      </c>
      <c r="C138" t="s">
        <v>4</v>
      </c>
      <c r="D138" t="s">
        <v>683</v>
      </c>
      <c r="E138" t="s">
        <v>684</v>
      </c>
      <c r="F138" t="s">
        <v>0</v>
      </c>
      <c r="G138" t="s">
        <v>21</v>
      </c>
      <c r="H138" t="s">
        <v>22</v>
      </c>
      <c r="I138" s="2">
        <v>500</v>
      </c>
      <c r="J138" s="2">
        <v>488</v>
      </c>
      <c r="K138" s="2">
        <f t="shared" si="4"/>
        <v>12</v>
      </c>
      <c r="L138" s="2">
        <f t="shared" ca="1" si="5"/>
        <v>5</v>
      </c>
      <c r="M138" s="2" t="s">
        <v>1082</v>
      </c>
      <c r="N138" t="s">
        <v>167</v>
      </c>
      <c r="O138" s="3">
        <v>46289</v>
      </c>
      <c r="P138" s="3">
        <v>46289</v>
      </c>
      <c r="Q138" s="3">
        <v>46289</v>
      </c>
      <c r="R138" s="3">
        <v>46289</v>
      </c>
      <c r="S138" t="s">
        <v>685</v>
      </c>
      <c r="T138" t="s">
        <v>686</v>
      </c>
      <c r="U138" s="3">
        <v>46293</v>
      </c>
      <c r="V138" s="4">
        <v>0.76430555555556001</v>
      </c>
      <c r="W138" s="3">
        <v>46293</v>
      </c>
      <c r="X138" t="s">
        <v>2</v>
      </c>
      <c r="Y138" t="s">
        <v>0</v>
      </c>
      <c r="Z138" s="3"/>
      <c r="AA138" s="4">
        <v>0</v>
      </c>
      <c r="AB138" s="3">
        <v>46293</v>
      </c>
      <c r="AC138" s="3">
        <v>46289</v>
      </c>
      <c r="AD138" t="s">
        <v>0</v>
      </c>
    </row>
    <row r="139" spans="1:30" hidden="1" x14ac:dyDescent="0.2">
      <c r="A139" t="s">
        <v>1</v>
      </c>
      <c r="B139" t="s">
        <v>3</v>
      </c>
      <c r="C139" t="s">
        <v>4</v>
      </c>
      <c r="D139" t="s">
        <v>687</v>
      </c>
      <c r="E139" t="s">
        <v>688</v>
      </c>
      <c r="F139" t="s">
        <v>0</v>
      </c>
      <c r="G139" t="s">
        <v>15</v>
      </c>
      <c r="H139" t="s">
        <v>16</v>
      </c>
      <c r="I139" s="2">
        <v>500</v>
      </c>
      <c r="J139" s="2">
        <v>499</v>
      </c>
      <c r="K139" s="2">
        <f t="shared" si="4"/>
        <v>1</v>
      </c>
      <c r="L139" s="2">
        <f t="shared" ca="1" si="5"/>
        <v>1</v>
      </c>
      <c r="M139" s="2" t="s">
        <v>1081</v>
      </c>
      <c r="N139" t="s">
        <v>167</v>
      </c>
      <c r="O139" s="3">
        <v>46289</v>
      </c>
      <c r="P139" s="3">
        <v>46293</v>
      </c>
      <c r="Q139" s="3">
        <v>46293</v>
      </c>
      <c r="R139" s="3">
        <v>46293</v>
      </c>
      <c r="S139" t="s">
        <v>689</v>
      </c>
      <c r="T139" t="s">
        <v>690</v>
      </c>
      <c r="U139" s="3">
        <v>46293</v>
      </c>
      <c r="V139" s="4">
        <v>0.66755787037036995</v>
      </c>
      <c r="W139" s="3">
        <v>46293</v>
      </c>
      <c r="X139" t="s">
        <v>2</v>
      </c>
      <c r="Y139" t="s">
        <v>0</v>
      </c>
      <c r="Z139" s="3"/>
      <c r="AA139" s="4">
        <v>0</v>
      </c>
      <c r="AB139" s="3">
        <v>46293</v>
      </c>
      <c r="AC139" s="3">
        <v>46293</v>
      </c>
      <c r="AD139" t="s">
        <v>0</v>
      </c>
    </row>
    <row r="140" spans="1:30" hidden="1" x14ac:dyDescent="0.2">
      <c r="A140" t="s">
        <v>1</v>
      </c>
      <c r="B140" t="s">
        <v>5</v>
      </c>
      <c r="C140" t="s">
        <v>4</v>
      </c>
      <c r="D140" t="s">
        <v>691</v>
      </c>
      <c r="E140" t="s">
        <v>692</v>
      </c>
      <c r="F140" t="s">
        <v>0</v>
      </c>
      <c r="G140" t="s">
        <v>17</v>
      </c>
      <c r="H140" t="s">
        <v>18</v>
      </c>
      <c r="I140" s="2">
        <v>500</v>
      </c>
      <c r="J140" s="2">
        <v>491</v>
      </c>
      <c r="K140" s="2">
        <f t="shared" si="4"/>
        <v>9</v>
      </c>
      <c r="L140" s="2">
        <f t="shared" ca="1" si="5"/>
        <v>5</v>
      </c>
      <c r="M140" s="2" t="s">
        <v>1082</v>
      </c>
      <c r="N140" t="s">
        <v>167</v>
      </c>
      <c r="O140" s="3">
        <v>46289</v>
      </c>
      <c r="P140" s="3">
        <v>46289</v>
      </c>
      <c r="Q140" s="3">
        <v>46289</v>
      </c>
      <c r="R140" s="3">
        <v>46289</v>
      </c>
      <c r="S140" t="s">
        <v>693</v>
      </c>
      <c r="T140" t="s">
        <v>694</v>
      </c>
      <c r="U140" s="3">
        <v>46293</v>
      </c>
      <c r="V140" s="4">
        <v>0.58752314814814999</v>
      </c>
      <c r="W140" s="3">
        <v>46289</v>
      </c>
      <c r="X140" t="s">
        <v>2</v>
      </c>
      <c r="Y140" t="s">
        <v>0</v>
      </c>
      <c r="Z140" s="3"/>
      <c r="AA140" s="4">
        <v>0</v>
      </c>
      <c r="AB140" s="3">
        <v>46293</v>
      </c>
      <c r="AC140" s="3">
        <v>46289</v>
      </c>
      <c r="AD140" t="s">
        <v>0</v>
      </c>
    </row>
    <row r="141" spans="1:30" hidden="1" x14ac:dyDescent="0.2">
      <c r="A141" t="s">
        <v>1</v>
      </c>
      <c r="B141" t="s">
        <v>5</v>
      </c>
      <c r="C141" t="s">
        <v>4</v>
      </c>
      <c r="D141" t="s">
        <v>695</v>
      </c>
      <c r="E141" t="s">
        <v>696</v>
      </c>
      <c r="F141" t="s">
        <v>0</v>
      </c>
      <c r="G141" t="s">
        <v>19</v>
      </c>
      <c r="H141" t="s">
        <v>20</v>
      </c>
      <c r="I141" s="2">
        <v>500</v>
      </c>
      <c r="J141" s="2">
        <v>491</v>
      </c>
      <c r="K141" s="2">
        <f t="shared" si="4"/>
        <v>9</v>
      </c>
      <c r="L141" s="2">
        <f t="shared" ca="1" si="5"/>
        <v>5</v>
      </c>
      <c r="M141" s="2" t="s">
        <v>1082</v>
      </c>
      <c r="N141" t="s">
        <v>167</v>
      </c>
      <c r="O141" s="3">
        <v>46289</v>
      </c>
      <c r="P141" s="3">
        <v>46289</v>
      </c>
      <c r="Q141" s="3">
        <v>46289</v>
      </c>
      <c r="R141" s="3">
        <v>46289</v>
      </c>
      <c r="S141" t="s">
        <v>697</v>
      </c>
      <c r="T141" t="s">
        <v>698</v>
      </c>
      <c r="U141" s="3">
        <v>46293</v>
      </c>
      <c r="V141" s="4">
        <v>0.64969907407407002</v>
      </c>
      <c r="W141" s="3">
        <v>46289</v>
      </c>
      <c r="X141" t="s">
        <v>2</v>
      </c>
      <c r="Y141" t="s">
        <v>0</v>
      </c>
      <c r="Z141" s="3"/>
      <c r="AA141" s="4">
        <v>0</v>
      </c>
      <c r="AB141" s="3">
        <v>46293</v>
      </c>
      <c r="AC141" s="3">
        <v>46289</v>
      </c>
      <c r="AD141" t="s">
        <v>0</v>
      </c>
    </row>
    <row r="142" spans="1:30" hidden="1" x14ac:dyDescent="0.2">
      <c r="A142" t="s">
        <v>1</v>
      </c>
      <c r="B142" t="s">
        <v>5</v>
      </c>
      <c r="C142" t="s">
        <v>4</v>
      </c>
      <c r="D142" t="s">
        <v>699</v>
      </c>
      <c r="E142" t="s">
        <v>700</v>
      </c>
      <c r="F142" t="s">
        <v>0</v>
      </c>
      <c r="G142" t="s">
        <v>21</v>
      </c>
      <c r="H142" t="s">
        <v>22</v>
      </c>
      <c r="I142" s="2">
        <v>500</v>
      </c>
      <c r="J142" s="2">
        <v>491</v>
      </c>
      <c r="K142" s="2">
        <f t="shared" si="4"/>
        <v>9</v>
      </c>
      <c r="L142" s="2">
        <f t="shared" ca="1" si="5"/>
        <v>5</v>
      </c>
      <c r="M142" s="2" t="s">
        <v>1082</v>
      </c>
      <c r="N142" t="s">
        <v>167</v>
      </c>
      <c r="O142" s="3">
        <v>46289</v>
      </c>
      <c r="P142" s="3">
        <v>46289</v>
      </c>
      <c r="Q142" s="3">
        <v>46289</v>
      </c>
      <c r="R142" s="3">
        <v>46289</v>
      </c>
      <c r="S142" t="s">
        <v>701</v>
      </c>
      <c r="T142" t="s">
        <v>702</v>
      </c>
      <c r="U142" s="3">
        <v>46293</v>
      </c>
      <c r="V142" s="4">
        <v>0.64981481481480996</v>
      </c>
      <c r="W142" s="3">
        <v>46293</v>
      </c>
      <c r="X142" t="s">
        <v>2</v>
      </c>
      <c r="Y142" t="s">
        <v>0</v>
      </c>
      <c r="Z142" s="3"/>
      <c r="AA142" s="4">
        <v>0</v>
      </c>
      <c r="AB142" s="3">
        <v>46293</v>
      </c>
      <c r="AC142" s="3">
        <v>46289</v>
      </c>
      <c r="AD142" t="s">
        <v>0</v>
      </c>
    </row>
    <row r="143" spans="1:30" hidden="1" x14ac:dyDescent="0.2">
      <c r="A143" t="s">
        <v>1</v>
      </c>
      <c r="B143" t="s">
        <v>3</v>
      </c>
      <c r="C143" t="s">
        <v>4</v>
      </c>
      <c r="D143" t="s">
        <v>703</v>
      </c>
      <c r="E143" t="s">
        <v>704</v>
      </c>
      <c r="F143" t="s">
        <v>0</v>
      </c>
      <c r="G143" t="s">
        <v>15</v>
      </c>
      <c r="H143" t="s">
        <v>16</v>
      </c>
      <c r="I143" s="2">
        <v>500</v>
      </c>
      <c r="J143" s="2">
        <v>0</v>
      </c>
      <c r="K143" s="2">
        <f t="shared" si="4"/>
        <v>500</v>
      </c>
      <c r="L143" s="2">
        <f t="shared" ca="1" si="5"/>
        <v>5</v>
      </c>
      <c r="M143" s="2" t="s">
        <v>1082</v>
      </c>
      <c r="N143" t="s">
        <v>62</v>
      </c>
      <c r="O143" s="3">
        <v>46289</v>
      </c>
      <c r="P143" s="3">
        <v>46289</v>
      </c>
      <c r="Q143" s="3">
        <v>46289</v>
      </c>
      <c r="R143" s="3">
        <v>46289</v>
      </c>
      <c r="S143" t="s">
        <v>705</v>
      </c>
      <c r="T143" t="s">
        <v>706</v>
      </c>
      <c r="U143" s="3"/>
      <c r="V143" s="4">
        <v>0</v>
      </c>
      <c r="W143" s="3">
        <v>46289</v>
      </c>
      <c r="X143" t="s">
        <v>2</v>
      </c>
      <c r="Y143" t="s">
        <v>0</v>
      </c>
      <c r="Z143" s="3"/>
      <c r="AA143" s="4">
        <v>0</v>
      </c>
      <c r="AB143" s="3"/>
      <c r="AC143" s="3">
        <v>46289</v>
      </c>
      <c r="AD143" t="s">
        <v>0</v>
      </c>
    </row>
    <row r="144" spans="1:30" hidden="1" x14ac:dyDescent="0.2">
      <c r="A144" t="s">
        <v>1</v>
      </c>
      <c r="B144" t="s">
        <v>5</v>
      </c>
      <c r="C144" t="s">
        <v>4</v>
      </c>
      <c r="D144" t="s">
        <v>707</v>
      </c>
      <c r="E144" t="s">
        <v>708</v>
      </c>
      <c r="F144" t="s">
        <v>0</v>
      </c>
      <c r="G144" t="s">
        <v>17</v>
      </c>
      <c r="H144" t="s">
        <v>18</v>
      </c>
      <c r="I144" s="2">
        <v>500</v>
      </c>
      <c r="J144" s="2">
        <v>0</v>
      </c>
      <c r="K144" s="2">
        <f t="shared" si="4"/>
        <v>500</v>
      </c>
      <c r="L144" s="2">
        <f t="shared" ca="1" si="5"/>
        <v>5</v>
      </c>
      <c r="M144" s="2" t="s">
        <v>1082</v>
      </c>
      <c r="N144" t="s">
        <v>160</v>
      </c>
      <c r="O144" s="3">
        <v>46289</v>
      </c>
      <c r="P144" s="3">
        <v>46289</v>
      </c>
      <c r="Q144" s="3">
        <v>46289</v>
      </c>
      <c r="R144" s="3">
        <v>46289</v>
      </c>
      <c r="S144" t="s">
        <v>709</v>
      </c>
      <c r="T144" t="s">
        <v>710</v>
      </c>
      <c r="U144" s="3"/>
      <c r="V144" s="4">
        <v>0</v>
      </c>
      <c r="W144" s="3">
        <v>46289</v>
      </c>
      <c r="X144" t="s">
        <v>2</v>
      </c>
      <c r="Y144" t="s">
        <v>0</v>
      </c>
      <c r="Z144" s="3"/>
      <c r="AA144" s="4">
        <v>0</v>
      </c>
      <c r="AB144" s="3"/>
      <c r="AC144" s="3">
        <v>46289</v>
      </c>
      <c r="AD144" t="s">
        <v>0</v>
      </c>
    </row>
    <row r="145" spans="1:30" hidden="1" x14ac:dyDescent="0.2">
      <c r="A145" t="s">
        <v>1</v>
      </c>
      <c r="B145" t="s">
        <v>5</v>
      </c>
      <c r="C145" t="s">
        <v>4</v>
      </c>
      <c r="D145" t="s">
        <v>711</v>
      </c>
      <c r="E145" t="s">
        <v>712</v>
      </c>
      <c r="F145" t="s">
        <v>0</v>
      </c>
      <c r="G145" t="s">
        <v>19</v>
      </c>
      <c r="H145" t="s">
        <v>20</v>
      </c>
      <c r="I145" s="2">
        <v>500</v>
      </c>
      <c r="J145" s="2">
        <v>0</v>
      </c>
      <c r="K145" s="2">
        <f t="shared" si="4"/>
        <v>500</v>
      </c>
      <c r="L145" s="2">
        <f t="shared" ca="1" si="5"/>
        <v>5</v>
      </c>
      <c r="M145" s="2" t="s">
        <v>1082</v>
      </c>
      <c r="N145" t="s">
        <v>160</v>
      </c>
      <c r="O145" s="3">
        <v>46289</v>
      </c>
      <c r="P145" s="3">
        <v>46289</v>
      </c>
      <c r="Q145" s="3">
        <v>46289</v>
      </c>
      <c r="R145" s="3">
        <v>46289</v>
      </c>
      <c r="S145" t="s">
        <v>713</v>
      </c>
      <c r="T145" t="s">
        <v>714</v>
      </c>
      <c r="U145" s="3"/>
      <c r="V145" s="4">
        <v>0</v>
      </c>
      <c r="W145" s="3">
        <v>46289</v>
      </c>
      <c r="X145" t="s">
        <v>2</v>
      </c>
      <c r="Y145" t="s">
        <v>0</v>
      </c>
      <c r="Z145" s="3"/>
      <c r="AA145" s="4">
        <v>0</v>
      </c>
      <c r="AB145" s="3"/>
      <c r="AC145" s="3">
        <v>46289</v>
      </c>
      <c r="AD145" t="s">
        <v>0</v>
      </c>
    </row>
    <row r="146" spans="1:30" hidden="1" x14ac:dyDescent="0.2">
      <c r="A146" t="s">
        <v>1</v>
      </c>
      <c r="B146" t="s">
        <v>5</v>
      </c>
      <c r="C146" t="s">
        <v>4</v>
      </c>
      <c r="D146" t="s">
        <v>715</v>
      </c>
      <c r="E146" t="s">
        <v>716</v>
      </c>
      <c r="F146" t="s">
        <v>0</v>
      </c>
      <c r="G146" t="s">
        <v>21</v>
      </c>
      <c r="H146" t="s">
        <v>22</v>
      </c>
      <c r="I146" s="2">
        <v>500</v>
      </c>
      <c r="J146" s="2">
        <v>0</v>
      </c>
      <c r="K146" s="2">
        <f t="shared" si="4"/>
        <v>500</v>
      </c>
      <c r="L146" s="2">
        <f t="shared" ca="1" si="5"/>
        <v>5</v>
      </c>
      <c r="M146" s="2" t="s">
        <v>1082</v>
      </c>
      <c r="N146" t="s">
        <v>160</v>
      </c>
      <c r="O146" s="3">
        <v>46289</v>
      </c>
      <c r="P146" s="3">
        <v>46289</v>
      </c>
      <c r="Q146" s="3">
        <v>46289</v>
      </c>
      <c r="R146" s="3">
        <v>46289</v>
      </c>
      <c r="S146" t="s">
        <v>717</v>
      </c>
      <c r="T146" t="s">
        <v>718</v>
      </c>
      <c r="U146" s="3"/>
      <c r="V146" s="4">
        <v>0</v>
      </c>
      <c r="W146" s="3">
        <v>46289</v>
      </c>
      <c r="X146" t="s">
        <v>2</v>
      </c>
      <c r="Y146" t="s">
        <v>0</v>
      </c>
      <c r="Z146" s="3"/>
      <c r="AA146" s="4">
        <v>0</v>
      </c>
      <c r="AB146" s="3"/>
      <c r="AC146" s="3">
        <v>46289</v>
      </c>
      <c r="AD146" t="s">
        <v>0</v>
      </c>
    </row>
    <row r="147" spans="1:30" hidden="1" x14ac:dyDescent="0.2">
      <c r="A147" t="s">
        <v>1</v>
      </c>
      <c r="B147" t="s">
        <v>3</v>
      </c>
      <c r="C147" t="s">
        <v>4</v>
      </c>
      <c r="D147" t="s">
        <v>719</v>
      </c>
      <c r="E147" t="s">
        <v>720</v>
      </c>
      <c r="F147" t="s">
        <v>0</v>
      </c>
      <c r="G147" t="s">
        <v>721</v>
      </c>
      <c r="H147" t="s">
        <v>722</v>
      </c>
      <c r="I147" s="2">
        <v>10</v>
      </c>
      <c r="J147" s="2">
        <v>0</v>
      </c>
      <c r="K147" s="2">
        <f t="shared" si="4"/>
        <v>10</v>
      </c>
      <c r="L147" s="2">
        <f t="shared" ca="1" si="5"/>
        <v>5</v>
      </c>
      <c r="M147" s="2" t="s">
        <v>1082</v>
      </c>
      <c r="N147" t="s">
        <v>160</v>
      </c>
      <c r="O147" s="3">
        <v>46289</v>
      </c>
      <c r="P147" s="3">
        <v>46289</v>
      </c>
      <c r="Q147" s="3">
        <v>46289</v>
      </c>
      <c r="R147" s="3">
        <v>46289</v>
      </c>
      <c r="S147" t="s">
        <v>723</v>
      </c>
      <c r="T147" t="s">
        <v>724</v>
      </c>
      <c r="U147" s="3"/>
      <c r="V147" s="4">
        <v>0</v>
      </c>
      <c r="W147" s="3">
        <v>46289</v>
      </c>
      <c r="X147" t="s">
        <v>2</v>
      </c>
      <c r="Y147" t="s">
        <v>0</v>
      </c>
      <c r="Z147" s="3"/>
      <c r="AA147" s="4">
        <v>0</v>
      </c>
      <c r="AB147" s="3"/>
      <c r="AC147" s="3">
        <v>46289</v>
      </c>
      <c r="AD147" t="s">
        <v>0</v>
      </c>
    </row>
    <row r="148" spans="1:30" hidden="1" x14ac:dyDescent="0.2">
      <c r="A148" t="s">
        <v>1</v>
      </c>
      <c r="B148" t="s">
        <v>10</v>
      </c>
      <c r="C148" t="s">
        <v>23</v>
      </c>
      <c r="D148" t="s">
        <v>725</v>
      </c>
      <c r="E148" t="s">
        <v>726</v>
      </c>
      <c r="F148" t="s">
        <v>0</v>
      </c>
      <c r="G148" t="s">
        <v>727</v>
      </c>
      <c r="H148" t="s">
        <v>64</v>
      </c>
      <c r="I148" s="2">
        <v>300</v>
      </c>
      <c r="J148" s="2">
        <v>0</v>
      </c>
      <c r="K148" s="2">
        <f t="shared" si="4"/>
        <v>300</v>
      </c>
      <c r="L148" s="2">
        <f t="shared" ca="1" si="5"/>
        <v>5</v>
      </c>
      <c r="M148" s="2" t="s">
        <v>1082</v>
      </c>
      <c r="N148" t="s">
        <v>153</v>
      </c>
      <c r="O148" s="3">
        <v>46289</v>
      </c>
      <c r="P148" s="3">
        <v>46289</v>
      </c>
      <c r="Q148" s="3">
        <v>46289</v>
      </c>
      <c r="R148" s="3">
        <v>46289</v>
      </c>
      <c r="S148" t="s">
        <v>728</v>
      </c>
      <c r="T148" t="s">
        <v>729</v>
      </c>
      <c r="U148" s="3"/>
      <c r="V148" s="4">
        <v>0</v>
      </c>
      <c r="W148" s="3">
        <v>46289</v>
      </c>
      <c r="X148" t="s">
        <v>2</v>
      </c>
      <c r="Y148" t="s">
        <v>11</v>
      </c>
      <c r="Z148" s="3"/>
      <c r="AA148" s="4">
        <v>0</v>
      </c>
      <c r="AB148" s="3"/>
      <c r="AC148" s="3">
        <v>46289</v>
      </c>
      <c r="AD148" t="s">
        <v>0</v>
      </c>
    </row>
    <row r="149" spans="1:30" hidden="1" x14ac:dyDescent="0.2">
      <c r="A149" t="s">
        <v>1</v>
      </c>
      <c r="B149" t="s">
        <v>10</v>
      </c>
      <c r="C149" t="s">
        <v>23</v>
      </c>
      <c r="D149" t="s">
        <v>730</v>
      </c>
      <c r="E149" t="s">
        <v>731</v>
      </c>
      <c r="F149" t="s">
        <v>0</v>
      </c>
      <c r="G149" t="s">
        <v>727</v>
      </c>
      <c r="H149" t="s">
        <v>64</v>
      </c>
      <c r="I149" s="2">
        <v>332</v>
      </c>
      <c r="J149" s="2">
        <v>332</v>
      </c>
      <c r="K149" s="2">
        <f t="shared" si="4"/>
        <v>0</v>
      </c>
      <c r="L149" s="2">
        <f t="shared" ca="1" si="5"/>
        <v>5</v>
      </c>
      <c r="M149" s="2" t="s">
        <v>1082</v>
      </c>
      <c r="N149" t="s">
        <v>90</v>
      </c>
      <c r="O149" s="3">
        <v>46289</v>
      </c>
      <c r="P149" s="3">
        <v>46289</v>
      </c>
      <c r="Q149" s="3">
        <v>46289</v>
      </c>
      <c r="R149" s="3">
        <v>46289</v>
      </c>
      <c r="S149" t="s">
        <v>732</v>
      </c>
      <c r="T149" t="s">
        <v>733</v>
      </c>
      <c r="U149" s="3">
        <v>46294</v>
      </c>
      <c r="V149" s="4">
        <v>0.21249999999999999</v>
      </c>
      <c r="W149" s="3">
        <v>46289</v>
      </c>
      <c r="X149" t="s">
        <v>2</v>
      </c>
      <c r="Y149" t="s">
        <v>11</v>
      </c>
      <c r="Z149" s="3"/>
      <c r="AA149" s="4">
        <v>0</v>
      </c>
      <c r="AB149" s="3">
        <v>46294</v>
      </c>
      <c r="AC149" s="3">
        <v>46289</v>
      </c>
      <c r="AD149" t="s">
        <v>0</v>
      </c>
    </row>
    <row r="150" spans="1:30" hidden="1" x14ac:dyDescent="0.2">
      <c r="A150" t="s">
        <v>1</v>
      </c>
      <c r="B150" t="s">
        <v>10</v>
      </c>
      <c r="C150" t="s">
        <v>23</v>
      </c>
      <c r="D150" t="s">
        <v>734</v>
      </c>
      <c r="E150" t="s">
        <v>735</v>
      </c>
      <c r="F150" t="s">
        <v>0</v>
      </c>
      <c r="G150" t="s">
        <v>559</v>
      </c>
      <c r="H150" t="s">
        <v>560</v>
      </c>
      <c r="I150" s="2">
        <v>500</v>
      </c>
      <c r="J150" s="2">
        <v>500</v>
      </c>
      <c r="K150" s="2">
        <f t="shared" si="4"/>
        <v>0</v>
      </c>
      <c r="L150" s="2">
        <f t="shared" ca="1" si="5"/>
        <v>5</v>
      </c>
      <c r="M150" s="2" t="s">
        <v>1082</v>
      </c>
      <c r="N150" t="s">
        <v>54</v>
      </c>
      <c r="O150" s="3">
        <v>46289</v>
      </c>
      <c r="P150" s="3">
        <v>46289</v>
      </c>
      <c r="Q150" s="3">
        <v>46289</v>
      </c>
      <c r="R150" s="3">
        <v>46289</v>
      </c>
      <c r="S150" t="s">
        <v>736</v>
      </c>
      <c r="T150" t="s">
        <v>737</v>
      </c>
      <c r="U150" s="3">
        <v>46293</v>
      </c>
      <c r="V150" s="4">
        <v>0.42085648148148003</v>
      </c>
      <c r="W150" s="3">
        <v>46289</v>
      </c>
      <c r="X150" t="s">
        <v>2</v>
      </c>
      <c r="Y150" t="s">
        <v>11</v>
      </c>
      <c r="Z150" s="3">
        <v>46293</v>
      </c>
      <c r="AA150" s="4">
        <v>0.42085648148148003</v>
      </c>
      <c r="AB150" s="3">
        <v>46293</v>
      </c>
      <c r="AC150" s="3">
        <v>46289</v>
      </c>
      <c r="AD150" t="s">
        <v>0</v>
      </c>
    </row>
    <row r="151" spans="1:30" hidden="1" x14ac:dyDescent="0.2">
      <c r="A151" t="s">
        <v>1</v>
      </c>
      <c r="B151" t="s">
        <v>10</v>
      </c>
      <c r="C151" t="s">
        <v>23</v>
      </c>
      <c r="D151" t="s">
        <v>738</v>
      </c>
      <c r="E151" t="s">
        <v>739</v>
      </c>
      <c r="F151" t="s">
        <v>0</v>
      </c>
      <c r="G151" t="s">
        <v>565</v>
      </c>
      <c r="H151" t="s">
        <v>566</v>
      </c>
      <c r="I151" s="2">
        <v>500</v>
      </c>
      <c r="J151" s="2">
        <v>0</v>
      </c>
      <c r="K151" s="2">
        <f t="shared" si="4"/>
        <v>500</v>
      </c>
      <c r="L151" s="2">
        <f t="shared" ca="1" si="5"/>
        <v>5</v>
      </c>
      <c r="M151" s="2" t="s">
        <v>1082</v>
      </c>
      <c r="N151" t="s">
        <v>62</v>
      </c>
      <c r="O151" s="3">
        <v>46289</v>
      </c>
      <c r="P151" s="3">
        <v>46289</v>
      </c>
      <c r="Q151" s="3">
        <v>46289</v>
      </c>
      <c r="R151" s="3">
        <v>46289</v>
      </c>
      <c r="S151" t="s">
        <v>740</v>
      </c>
      <c r="T151" t="s">
        <v>741</v>
      </c>
      <c r="U151" s="3"/>
      <c r="V151" s="4">
        <v>0</v>
      </c>
      <c r="W151" s="3">
        <v>46289</v>
      </c>
      <c r="X151" t="s">
        <v>2</v>
      </c>
      <c r="Y151" t="s">
        <v>11</v>
      </c>
      <c r="Z151" s="3"/>
      <c r="AA151" s="4">
        <v>0</v>
      </c>
      <c r="AB151" s="3"/>
      <c r="AC151" s="3">
        <v>46289</v>
      </c>
      <c r="AD151" t="s">
        <v>0</v>
      </c>
    </row>
    <row r="152" spans="1:30" hidden="1" x14ac:dyDescent="0.2">
      <c r="A152" t="s">
        <v>1</v>
      </c>
      <c r="B152" t="s">
        <v>10</v>
      </c>
      <c r="C152" t="s">
        <v>23</v>
      </c>
      <c r="D152" t="s">
        <v>742</v>
      </c>
      <c r="E152" t="s">
        <v>743</v>
      </c>
      <c r="F152" t="s">
        <v>0</v>
      </c>
      <c r="G152" t="s">
        <v>559</v>
      </c>
      <c r="H152" t="s">
        <v>560</v>
      </c>
      <c r="I152" s="2">
        <v>500</v>
      </c>
      <c r="J152" s="2">
        <v>500</v>
      </c>
      <c r="K152" s="2">
        <f t="shared" si="4"/>
        <v>0</v>
      </c>
      <c r="L152" s="2">
        <f t="shared" ca="1" si="5"/>
        <v>5</v>
      </c>
      <c r="M152" s="2" t="s">
        <v>1082</v>
      </c>
      <c r="N152" t="s">
        <v>54</v>
      </c>
      <c r="O152" s="3">
        <v>46289</v>
      </c>
      <c r="P152" s="3">
        <v>46289</v>
      </c>
      <c r="Q152" s="3">
        <v>46289</v>
      </c>
      <c r="R152" s="3">
        <v>46289</v>
      </c>
      <c r="S152" t="s">
        <v>744</v>
      </c>
      <c r="T152" t="s">
        <v>745</v>
      </c>
      <c r="U152" s="3">
        <v>46292</v>
      </c>
      <c r="V152" s="4">
        <v>0.88259259259259004</v>
      </c>
      <c r="W152" s="3">
        <v>46289</v>
      </c>
      <c r="X152" t="s">
        <v>2</v>
      </c>
      <c r="Y152" t="s">
        <v>34</v>
      </c>
      <c r="Z152" s="3">
        <v>46292</v>
      </c>
      <c r="AA152" s="4">
        <v>0.88259259259259004</v>
      </c>
      <c r="AB152" s="3">
        <v>46292</v>
      </c>
      <c r="AC152" s="3">
        <v>46289</v>
      </c>
      <c r="AD152" t="s">
        <v>0</v>
      </c>
    </row>
    <row r="153" spans="1:30" hidden="1" x14ac:dyDescent="0.2">
      <c r="A153" t="s">
        <v>1</v>
      </c>
      <c r="B153" t="s">
        <v>10</v>
      </c>
      <c r="C153" t="s">
        <v>23</v>
      </c>
      <c r="D153" t="s">
        <v>746</v>
      </c>
      <c r="E153" t="s">
        <v>747</v>
      </c>
      <c r="F153" t="s">
        <v>0</v>
      </c>
      <c r="G153" t="s">
        <v>559</v>
      </c>
      <c r="H153" t="s">
        <v>560</v>
      </c>
      <c r="I153" s="2">
        <v>500</v>
      </c>
      <c r="J153" s="2">
        <v>500</v>
      </c>
      <c r="K153" s="2">
        <f t="shared" si="4"/>
        <v>0</v>
      </c>
      <c r="L153" s="2">
        <f t="shared" ca="1" si="5"/>
        <v>5</v>
      </c>
      <c r="M153" s="2" t="s">
        <v>1082</v>
      </c>
      <c r="N153" t="s">
        <v>54</v>
      </c>
      <c r="O153" s="3">
        <v>46289</v>
      </c>
      <c r="P153" s="3">
        <v>46289</v>
      </c>
      <c r="Q153" s="3">
        <v>46289</v>
      </c>
      <c r="R153" s="3">
        <v>46289</v>
      </c>
      <c r="S153" t="s">
        <v>748</v>
      </c>
      <c r="T153" t="s">
        <v>749</v>
      </c>
      <c r="U153" s="3">
        <v>46292</v>
      </c>
      <c r="V153" s="4">
        <v>0.88270833333332999</v>
      </c>
      <c r="W153" s="3">
        <v>46289</v>
      </c>
      <c r="X153" t="s">
        <v>2</v>
      </c>
      <c r="Y153" t="s">
        <v>11</v>
      </c>
      <c r="Z153" s="3">
        <v>46292</v>
      </c>
      <c r="AA153" s="4">
        <v>0.88270833333332999</v>
      </c>
      <c r="AB153" s="3">
        <v>46292</v>
      </c>
      <c r="AC153" s="3">
        <v>46289</v>
      </c>
      <c r="AD153" t="s">
        <v>0</v>
      </c>
    </row>
    <row r="154" spans="1:30" hidden="1" x14ac:dyDescent="0.2">
      <c r="A154" t="s">
        <v>1</v>
      </c>
      <c r="B154" t="s">
        <v>25</v>
      </c>
      <c r="C154" t="s">
        <v>23</v>
      </c>
      <c r="D154" t="s">
        <v>750</v>
      </c>
      <c r="E154" t="s">
        <v>751</v>
      </c>
      <c r="F154" t="s">
        <v>0</v>
      </c>
      <c r="G154" t="s">
        <v>63</v>
      </c>
      <c r="H154" t="s">
        <v>64</v>
      </c>
      <c r="I154" s="2">
        <v>6</v>
      </c>
      <c r="J154" s="2">
        <v>0</v>
      </c>
      <c r="K154" s="2">
        <f t="shared" si="4"/>
        <v>6</v>
      </c>
      <c r="L154" s="2">
        <f t="shared" ca="1" si="5"/>
        <v>5</v>
      </c>
      <c r="M154" s="2" t="s">
        <v>1082</v>
      </c>
      <c r="N154" t="s">
        <v>153</v>
      </c>
      <c r="O154" s="3">
        <v>46289</v>
      </c>
      <c r="P154" s="3">
        <v>46289</v>
      </c>
      <c r="Q154" s="3">
        <v>46289</v>
      </c>
      <c r="R154" s="3">
        <v>46289</v>
      </c>
      <c r="S154" t="s">
        <v>752</v>
      </c>
      <c r="T154" t="s">
        <v>753</v>
      </c>
      <c r="U154" s="3"/>
      <c r="V154" s="4">
        <v>0</v>
      </c>
      <c r="W154" s="3">
        <v>46289</v>
      </c>
      <c r="X154" t="s">
        <v>2</v>
      </c>
      <c r="Y154" t="s">
        <v>34</v>
      </c>
      <c r="Z154" s="3"/>
      <c r="AA154" s="4">
        <v>0</v>
      </c>
      <c r="AB154" s="3"/>
      <c r="AC154" s="3">
        <v>46289</v>
      </c>
      <c r="AD154" t="s">
        <v>0</v>
      </c>
    </row>
    <row r="155" spans="1:30" hidden="1" x14ac:dyDescent="0.2">
      <c r="A155" t="s">
        <v>1</v>
      </c>
      <c r="B155" t="s">
        <v>10</v>
      </c>
      <c r="C155" t="s">
        <v>23</v>
      </c>
      <c r="D155" t="s">
        <v>754</v>
      </c>
      <c r="E155" t="s">
        <v>755</v>
      </c>
      <c r="F155" t="s">
        <v>0</v>
      </c>
      <c r="G155" t="s">
        <v>647</v>
      </c>
      <c r="H155" t="s">
        <v>648</v>
      </c>
      <c r="I155" s="2">
        <v>115</v>
      </c>
      <c r="J155" s="2">
        <v>115</v>
      </c>
      <c r="K155" s="2">
        <f t="shared" si="4"/>
        <v>0</v>
      </c>
      <c r="L155" s="2">
        <f t="shared" ca="1" si="5"/>
        <v>4</v>
      </c>
      <c r="M155" s="2" t="s">
        <v>1082</v>
      </c>
      <c r="N155" t="s">
        <v>377</v>
      </c>
      <c r="O155" s="3">
        <v>46290</v>
      </c>
      <c r="P155" s="3">
        <v>46290</v>
      </c>
      <c r="Q155" s="3">
        <v>46290</v>
      </c>
      <c r="R155" s="3">
        <v>46290</v>
      </c>
      <c r="S155" t="s">
        <v>756</v>
      </c>
      <c r="T155" t="s">
        <v>757</v>
      </c>
      <c r="U155" s="3">
        <v>46293</v>
      </c>
      <c r="V155" s="4">
        <v>0.77130787037036996</v>
      </c>
      <c r="W155" s="3">
        <v>46290</v>
      </c>
      <c r="X155" t="s">
        <v>2</v>
      </c>
      <c r="Y155" t="s">
        <v>11</v>
      </c>
      <c r="Z155" s="3"/>
      <c r="AA155" s="4">
        <v>0</v>
      </c>
      <c r="AB155" s="3">
        <v>46293</v>
      </c>
      <c r="AC155" s="3">
        <v>46290</v>
      </c>
      <c r="AD155" t="s">
        <v>0</v>
      </c>
    </row>
    <row r="156" spans="1:30" hidden="1" x14ac:dyDescent="0.2">
      <c r="A156" t="s">
        <v>1</v>
      </c>
      <c r="B156" t="s">
        <v>10</v>
      </c>
      <c r="C156" t="s">
        <v>23</v>
      </c>
      <c r="D156" t="s">
        <v>758</v>
      </c>
      <c r="E156" t="s">
        <v>759</v>
      </c>
      <c r="F156" t="s">
        <v>0</v>
      </c>
      <c r="G156" t="s">
        <v>99</v>
      </c>
      <c r="H156" t="s">
        <v>100</v>
      </c>
      <c r="I156" s="2">
        <v>24</v>
      </c>
      <c r="J156" s="2">
        <v>24</v>
      </c>
      <c r="K156" s="2">
        <f t="shared" si="4"/>
        <v>0</v>
      </c>
      <c r="L156" s="2">
        <f t="shared" ca="1" si="5"/>
        <v>4</v>
      </c>
      <c r="M156" s="2" t="s">
        <v>1082</v>
      </c>
      <c r="N156" t="s">
        <v>384</v>
      </c>
      <c r="O156" s="3">
        <v>46290</v>
      </c>
      <c r="P156" s="3">
        <v>46290</v>
      </c>
      <c r="Q156" s="3">
        <v>46290</v>
      </c>
      <c r="R156" s="3">
        <v>46290</v>
      </c>
      <c r="S156" t="s">
        <v>760</v>
      </c>
      <c r="T156" t="s">
        <v>761</v>
      </c>
      <c r="U156" s="3">
        <v>46292</v>
      </c>
      <c r="V156" s="4">
        <v>0.56662037037037005</v>
      </c>
      <c r="W156" s="3">
        <v>46290</v>
      </c>
      <c r="X156" t="s">
        <v>2</v>
      </c>
      <c r="Y156" t="s">
        <v>11</v>
      </c>
      <c r="Z156" s="3">
        <v>46292</v>
      </c>
      <c r="AA156" s="4">
        <v>0.56662037037037005</v>
      </c>
      <c r="AB156" s="3">
        <v>46292</v>
      </c>
      <c r="AC156" s="3">
        <v>46290</v>
      </c>
      <c r="AD156" t="s">
        <v>0</v>
      </c>
    </row>
    <row r="157" spans="1:30" hidden="1" x14ac:dyDescent="0.2">
      <c r="A157" t="s">
        <v>1</v>
      </c>
      <c r="B157" t="s">
        <v>10</v>
      </c>
      <c r="C157" t="s">
        <v>23</v>
      </c>
      <c r="D157" t="s">
        <v>762</v>
      </c>
      <c r="E157" t="s">
        <v>763</v>
      </c>
      <c r="F157" t="s">
        <v>0</v>
      </c>
      <c r="G157" t="s">
        <v>99</v>
      </c>
      <c r="H157" t="s">
        <v>100</v>
      </c>
      <c r="I157" s="2">
        <v>17</v>
      </c>
      <c r="J157" s="2">
        <v>17</v>
      </c>
      <c r="K157" s="2">
        <f t="shared" si="4"/>
        <v>0</v>
      </c>
      <c r="L157" s="2">
        <f t="shared" ca="1" si="5"/>
        <v>4</v>
      </c>
      <c r="M157" s="2" t="s">
        <v>1082</v>
      </c>
      <c r="N157" t="s">
        <v>384</v>
      </c>
      <c r="O157" s="3">
        <v>46290</v>
      </c>
      <c r="P157" s="3">
        <v>46290</v>
      </c>
      <c r="Q157" s="3">
        <v>46290</v>
      </c>
      <c r="R157" s="3">
        <v>46290</v>
      </c>
      <c r="S157" t="s">
        <v>764</v>
      </c>
      <c r="T157" t="s">
        <v>765</v>
      </c>
      <c r="U157" s="3">
        <v>46292</v>
      </c>
      <c r="V157" s="4">
        <v>0.5733912037037</v>
      </c>
      <c r="W157" s="3">
        <v>46290</v>
      </c>
      <c r="X157" t="s">
        <v>2</v>
      </c>
      <c r="Y157" t="s">
        <v>11</v>
      </c>
      <c r="Z157" s="3">
        <v>46292</v>
      </c>
      <c r="AA157" s="4">
        <v>0.57347222222222005</v>
      </c>
      <c r="AB157" s="3">
        <v>46292</v>
      </c>
      <c r="AC157" s="3">
        <v>46290</v>
      </c>
      <c r="AD157" t="s">
        <v>0</v>
      </c>
    </row>
    <row r="158" spans="1:30" hidden="1" x14ac:dyDescent="0.2">
      <c r="A158" t="s">
        <v>1</v>
      </c>
      <c r="B158" t="s">
        <v>10</v>
      </c>
      <c r="C158" t="s">
        <v>23</v>
      </c>
      <c r="D158" t="s">
        <v>766</v>
      </c>
      <c r="E158" t="s">
        <v>767</v>
      </c>
      <c r="F158" t="s">
        <v>0</v>
      </c>
      <c r="G158" t="s">
        <v>99</v>
      </c>
      <c r="H158" t="s">
        <v>100</v>
      </c>
      <c r="I158" s="2">
        <v>156</v>
      </c>
      <c r="J158" s="2">
        <v>156</v>
      </c>
      <c r="K158" s="2">
        <f t="shared" si="4"/>
        <v>0</v>
      </c>
      <c r="L158" s="2">
        <f t="shared" ca="1" si="5"/>
        <v>4</v>
      </c>
      <c r="M158" s="2" t="s">
        <v>1082</v>
      </c>
      <c r="N158" t="s">
        <v>489</v>
      </c>
      <c r="O158" s="3">
        <v>46290</v>
      </c>
      <c r="P158" s="3">
        <v>46290</v>
      </c>
      <c r="Q158" s="3">
        <v>46290</v>
      </c>
      <c r="R158" s="3">
        <v>46290</v>
      </c>
      <c r="S158" t="s">
        <v>768</v>
      </c>
      <c r="T158" t="s">
        <v>769</v>
      </c>
      <c r="U158" s="3">
        <v>46293</v>
      </c>
      <c r="V158" s="4">
        <v>0.84789351851852002</v>
      </c>
      <c r="W158" s="3">
        <v>46290</v>
      </c>
      <c r="X158" t="s">
        <v>2</v>
      </c>
      <c r="Y158" t="s">
        <v>11</v>
      </c>
      <c r="Z158" s="3"/>
      <c r="AA158" s="4">
        <v>0</v>
      </c>
      <c r="AB158" s="3">
        <v>46293</v>
      </c>
      <c r="AC158" s="3">
        <v>46290</v>
      </c>
      <c r="AD158" t="s">
        <v>0</v>
      </c>
    </row>
    <row r="159" spans="1:30" hidden="1" x14ac:dyDescent="0.2">
      <c r="A159" t="s">
        <v>1</v>
      </c>
      <c r="B159" t="s">
        <v>10</v>
      </c>
      <c r="C159" t="s">
        <v>23</v>
      </c>
      <c r="D159" t="s">
        <v>770</v>
      </c>
      <c r="E159" t="s">
        <v>771</v>
      </c>
      <c r="F159" t="s">
        <v>0</v>
      </c>
      <c r="G159" t="s">
        <v>95</v>
      </c>
      <c r="H159" t="s">
        <v>96</v>
      </c>
      <c r="I159" s="2">
        <v>115</v>
      </c>
      <c r="J159" s="2">
        <v>115</v>
      </c>
      <c r="K159" s="2">
        <f t="shared" si="4"/>
        <v>0</v>
      </c>
      <c r="L159" s="2">
        <f t="shared" ca="1" si="5"/>
        <v>4</v>
      </c>
      <c r="M159" s="2" t="s">
        <v>1082</v>
      </c>
      <c r="N159" t="s">
        <v>89</v>
      </c>
      <c r="O159" s="3">
        <v>46290</v>
      </c>
      <c r="P159" s="3">
        <v>46290</v>
      </c>
      <c r="Q159" s="3">
        <v>46290</v>
      </c>
      <c r="R159" s="3">
        <v>46290</v>
      </c>
      <c r="S159" t="s">
        <v>772</v>
      </c>
      <c r="T159" t="s">
        <v>773</v>
      </c>
      <c r="U159" s="3">
        <v>46293</v>
      </c>
      <c r="V159" s="4">
        <v>0.21245370370370001</v>
      </c>
      <c r="W159" s="3">
        <v>46290</v>
      </c>
      <c r="X159" t="s">
        <v>2</v>
      </c>
      <c r="Y159" t="s">
        <v>11</v>
      </c>
      <c r="Z159" s="3"/>
      <c r="AA159" s="4">
        <v>0</v>
      </c>
      <c r="AB159" s="3">
        <v>46293</v>
      </c>
      <c r="AC159" s="3">
        <v>46290</v>
      </c>
      <c r="AD159" t="s">
        <v>0</v>
      </c>
    </row>
    <row r="160" spans="1:30" hidden="1" x14ac:dyDescent="0.2">
      <c r="A160" t="s">
        <v>1</v>
      </c>
      <c r="B160" t="s">
        <v>10</v>
      </c>
      <c r="C160" t="s">
        <v>23</v>
      </c>
      <c r="D160" t="s">
        <v>774</v>
      </c>
      <c r="E160" t="s">
        <v>775</v>
      </c>
      <c r="F160" t="s">
        <v>0</v>
      </c>
      <c r="G160" t="s">
        <v>95</v>
      </c>
      <c r="H160" t="s">
        <v>96</v>
      </c>
      <c r="I160" s="2">
        <v>312</v>
      </c>
      <c r="J160" s="2">
        <v>312</v>
      </c>
      <c r="K160" s="2">
        <f t="shared" si="4"/>
        <v>0</v>
      </c>
      <c r="L160" s="2">
        <f t="shared" ca="1" si="5"/>
        <v>4</v>
      </c>
      <c r="M160" s="2" t="s">
        <v>1082</v>
      </c>
      <c r="N160" t="s">
        <v>89</v>
      </c>
      <c r="O160" s="3">
        <v>46290</v>
      </c>
      <c r="P160" s="3">
        <v>46290</v>
      </c>
      <c r="Q160" s="3">
        <v>46290</v>
      </c>
      <c r="R160" s="3">
        <v>46290</v>
      </c>
      <c r="S160" t="s">
        <v>776</v>
      </c>
      <c r="T160" t="s">
        <v>777</v>
      </c>
      <c r="U160" s="3">
        <v>46293</v>
      </c>
      <c r="V160" s="4">
        <v>0.58402777777778003</v>
      </c>
      <c r="W160" s="3">
        <v>46290</v>
      </c>
      <c r="X160" t="s">
        <v>2</v>
      </c>
      <c r="Y160" t="s">
        <v>11</v>
      </c>
      <c r="Z160" s="3"/>
      <c r="AA160" s="4">
        <v>0</v>
      </c>
      <c r="AB160" s="3">
        <v>46293</v>
      </c>
      <c r="AC160" s="3">
        <v>46290</v>
      </c>
      <c r="AD160" t="s">
        <v>0</v>
      </c>
    </row>
    <row r="161" spans="1:30" hidden="1" x14ac:dyDescent="0.2">
      <c r="A161" t="s">
        <v>1</v>
      </c>
      <c r="B161" t="s">
        <v>10</v>
      </c>
      <c r="C161" t="s">
        <v>23</v>
      </c>
      <c r="D161" t="s">
        <v>778</v>
      </c>
      <c r="E161" t="s">
        <v>779</v>
      </c>
      <c r="F161" t="s">
        <v>0</v>
      </c>
      <c r="G161" t="s">
        <v>65</v>
      </c>
      <c r="H161" t="s">
        <v>66</v>
      </c>
      <c r="I161" s="2">
        <v>10</v>
      </c>
      <c r="J161" s="2">
        <v>10</v>
      </c>
      <c r="K161" s="2">
        <f t="shared" si="4"/>
        <v>0</v>
      </c>
      <c r="L161" s="2">
        <f t="shared" ca="1" si="5"/>
        <v>4</v>
      </c>
      <c r="M161" s="2" t="s">
        <v>1082</v>
      </c>
      <c r="N161" t="s">
        <v>90</v>
      </c>
      <c r="O161" s="3">
        <v>46290</v>
      </c>
      <c r="P161" s="3">
        <v>46290</v>
      </c>
      <c r="Q161" s="3">
        <v>46290</v>
      </c>
      <c r="R161" s="3">
        <v>46290</v>
      </c>
      <c r="S161" t="s">
        <v>780</v>
      </c>
      <c r="T161" t="s">
        <v>781</v>
      </c>
      <c r="U161" s="3">
        <v>46293</v>
      </c>
      <c r="V161" s="4">
        <v>0.71230324074074003</v>
      </c>
      <c r="W161" s="3">
        <v>46293</v>
      </c>
      <c r="X161" t="s">
        <v>782</v>
      </c>
      <c r="Y161" t="s">
        <v>11</v>
      </c>
      <c r="Z161" s="3"/>
      <c r="AA161" s="4">
        <v>0</v>
      </c>
      <c r="AB161" s="3">
        <v>46293</v>
      </c>
      <c r="AC161" s="3">
        <v>46290</v>
      </c>
      <c r="AD161" t="s">
        <v>0</v>
      </c>
    </row>
    <row r="162" spans="1:30" hidden="1" x14ac:dyDescent="0.2">
      <c r="A162" t="s">
        <v>1</v>
      </c>
      <c r="B162" t="s">
        <v>10</v>
      </c>
      <c r="C162" t="s">
        <v>23</v>
      </c>
      <c r="D162" t="s">
        <v>783</v>
      </c>
      <c r="E162" t="s">
        <v>784</v>
      </c>
      <c r="F162" t="s">
        <v>0</v>
      </c>
      <c r="G162" t="s">
        <v>51</v>
      </c>
      <c r="H162" t="s">
        <v>52</v>
      </c>
      <c r="I162" s="2">
        <v>155</v>
      </c>
      <c r="J162" s="2">
        <v>0</v>
      </c>
      <c r="K162" s="2">
        <f t="shared" si="4"/>
        <v>155</v>
      </c>
      <c r="L162" s="2">
        <f t="shared" ca="1" si="5"/>
        <v>4</v>
      </c>
      <c r="M162" s="2" t="s">
        <v>1082</v>
      </c>
      <c r="N162" t="s">
        <v>62</v>
      </c>
      <c r="O162" s="3">
        <v>46290</v>
      </c>
      <c r="P162" s="3">
        <v>46290</v>
      </c>
      <c r="Q162" s="3">
        <v>46290</v>
      </c>
      <c r="R162" s="3">
        <v>46290</v>
      </c>
      <c r="S162" t="s">
        <v>785</v>
      </c>
      <c r="T162" t="s">
        <v>786</v>
      </c>
      <c r="U162" s="3"/>
      <c r="V162" s="4">
        <v>0</v>
      </c>
      <c r="W162" s="3">
        <v>46290</v>
      </c>
      <c r="X162" t="s">
        <v>2</v>
      </c>
      <c r="Y162" t="s">
        <v>11</v>
      </c>
      <c r="Z162" s="3"/>
      <c r="AA162" s="4">
        <v>0</v>
      </c>
      <c r="AB162" s="3"/>
      <c r="AC162" s="3">
        <v>46290</v>
      </c>
      <c r="AD162" t="s">
        <v>0</v>
      </c>
    </row>
    <row r="163" spans="1:30" hidden="1" x14ac:dyDescent="0.2">
      <c r="A163" t="s">
        <v>1</v>
      </c>
      <c r="B163" t="s">
        <v>10</v>
      </c>
      <c r="C163" t="s">
        <v>23</v>
      </c>
      <c r="D163" t="s">
        <v>787</v>
      </c>
      <c r="E163" t="s">
        <v>788</v>
      </c>
      <c r="F163" t="s">
        <v>0</v>
      </c>
      <c r="G163" t="s">
        <v>91</v>
      </c>
      <c r="H163" t="s">
        <v>92</v>
      </c>
      <c r="I163" s="2">
        <v>300</v>
      </c>
      <c r="J163" s="2">
        <v>300</v>
      </c>
      <c r="K163" s="2">
        <f t="shared" si="4"/>
        <v>0</v>
      </c>
      <c r="L163" s="2">
        <f t="shared" ca="1" si="5"/>
        <v>4</v>
      </c>
      <c r="M163" s="2" t="s">
        <v>1082</v>
      </c>
      <c r="N163" t="s">
        <v>90</v>
      </c>
      <c r="O163" s="3">
        <v>46290</v>
      </c>
      <c r="P163" s="3">
        <v>46290</v>
      </c>
      <c r="Q163" s="3">
        <v>46290</v>
      </c>
      <c r="R163" s="3">
        <v>46290</v>
      </c>
      <c r="S163" t="s">
        <v>789</v>
      </c>
      <c r="T163" t="s">
        <v>790</v>
      </c>
      <c r="U163" s="3">
        <v>46294</v>
      </c>
      <c r="V163" s="4">
        <v>0.21234953703703999</v>
      </c>
      <c r="W163" s="3">
        <v>46290</v>
      </c>
      <c r="X163" t="s">
        <v>2</v>
      </c>
      <c r="Y163" t="s">
        <v>11</v>
      </c>
      <c r="Z163" s="3"/>
      <c r="AA163" s="4">
        <v>0</v>
      </c>
      <c r="AB163" s="3">
        <v>46294</v>
      </c>
      <c r="AC163" s="3">
        <v>46290</v>
      </c>
      <c r="AD163" t="s">
        <v>0</v>
      </c>
    </row>
    <row r="164" spans="1:30" hidden="1" x14ac:dyDescent="0.2">
      <c r="A164" t="s">
        <v>1</v>
      </c>
      <c r="B164" t="s">
        <v>10</v>
      </c>
      <c r="C164" t="s">
        <v>23</v>
      </c>
      <c r="D164" t="s">
        <v>791</v>
      </c>
      <c r="E164" t="s">
        <v>792</v>
      </c>
      <c r="F164" t="s">
        <v>0</v>
      </c>
      <c r="G164" t="s">
        <v>154</v>
      </c>
      <c r="H164" t="s">
        <v>155</v>
      </c>
      <c r="I164" s="2">
        <v>50</v>
      </c>
      <c r="J164" s="2">
        <v>50</v>
      </c>
      <c r="K164" s="2">
        <f t="shared" si="4"/>
        <v>0</v>
      </c>
      <c r="L164" s="2">
        <f t="shared" ca="1" si="5"/>
        <v>4</v>
      </c>
      <c r="M164" s="2" t="s">
        <v>1082</v>
      </c>
      <c r="N164" t="s">
        <v>90</v>
      </c>
      <c r="O164" s="3">
        <v>46290</v>
      </c>
      <c r="P164" s="3">
        <v>46290</v>
      </c>
      <c r="Q164" s="3">
        <v>46290</v>
      </c>
      <c r="R164" s="3">
        <v>46290</v>
      </c>
      <c r="S164" t="s">
        <v>793</v>
      </c>
      <c r="T164" t="s">
        <v>794</v>
      </c>
      <c r="U164" s="3">
        <v>46294</v>
      </c>
      <c r="V164" s="4">
        <v>6.7731481481480005E-2</v>
      </c>
      <c r="W164" s="3">
        <v>46290</v>
      </c>
      <c r="X164" t="s">
        <v>2</v>
      </c>
      <c r="Y164" t="s">
        <v>11</v>
      </c>
      <c r="Z164" s="3"/>
      <c r="AA164" s="4">
        <v>0</v>
      </c>
      <c r="AB164" s="3">
        <v>46294</v>
      </c>
      <c r="AC164" s="3">
        <v>46290</v>
      </c>
      <c r="AD164" t="s">
        <v>0</v>
      </c>
    </row>
    <row r="165" spans="1:30" hidden="1" x14ac:dyDescent="0.2">
      <c r="A165" t="s">
        <v>1</v>
      </c>
      <c r="B165" t="s">
        <v>10</v>
      </c>
      <c r="C165" t="s">
        <v>23</v>
      </c>
      <c r="D165" t="s">
        <v>795</v>
      </c>
      <c r="E165" t="s">
        <v>796</v>
      </c>
      <c r="F165" t="s">
        <v>0</v>
      </c>
      <c r="G165" t="s">
        <v>154</v>
      </c>
      <c r="H165" t="s">
        <v>155</v>
      </c>
      <c r="I165" s="2">
        <v>50</v>
      </c>
      <c r="J165" s="2">
        <v>50</v>
      </c>
      <c r="K165" s="2">
        <f t="shared" si="4"/>
        <v>0</v>
      </c>
      <c r="L165" s="2">
        <f t="shared" ca="1" si="5"/>
        <v>4</v>
      </c>
      <c r="M165" s="2" t="s">
        <v>1082</v>
      </c>
      <c r="N165" t="s">
        <v>90</v>
      </c>
      <c r="O165" s="3">
        <v>46290</v>
      </c>
      <c r="P165" s="3">
        <v>46290</v>
      </c>
      <c r="Q165" s="3">
        <v>46290</v>
      </c>
      <c r="R165" s="3">
        <v>46290</v>
      </c>
      <c r="S165" t="s">
        <v>797</v>
      </c>
      <c r="T165" t="s">
        <v>798</v>
      </c>
      <c r="U165" s="3">
        <v>46294</v>
      </c>
      <c r="V165" s="4">
        <v>0.11753472222222</v>
      </c>
      <c r="W165" s="3">
        <v>46290</v>
      </c>
      <c r="X165" t="s">
        <v>2</v>
      </c>
      <c r="Y165" t="s">
        <v>11</v>
      </c>
      <c r="Z165" s="3"/>
      <c r="AA165" s="4">
        <v>0</v>
      </c>
      <c r="AB165" s="3">
        <v>46294</v>
      </c>
      <c r="AC165" s="3">
        <v>46290</v>
      </c>
      <c r="AD165" t="s">
        <v>0</v>
      </c>
    </row>
    <row r="166" spans="1:30" hidden="1" x14ac:dyDescent="0.2">
      <c r="A166" t="s">
        <v>1</v>
      </c>
      <c r="B166" t="s">
        <v>10</v>
      </c>
      <c r="C166" t="s">
        <v>23</v>
      </c>
      <c r="D166" t="s">
        <v>799</v>
      </c>
      <c r="E166" t="s">
        <v>800</v>
      </c>
      <c r="F166" t="s">
        <v>0</v>
      </c>
      <c r="G166" t="s">
        <v>154</v>
      </c>
      <c r="H166" t="s">
        <v>155</v>
      </c>
      <c r="I166" s="2">
        <v>52</v>
      </c>
      <c r="J166" s="2">
        <v>0</v>
      </c>
      <c r="K166" s="2">
        <f t="shared" si="4"/>
        <v>52</v>
      </c>
      <c r="L166" s="2">
        <f t="shared" ca="1" si="5"/>
        <v>4</v>
      </c>
      <c r="M166" s="2" t="s">
        <v>1082</v>
      </c>
      <c r="N166" t="s">
        <v>229</v>
      </c>
      <c r="O166" s="3">
        <v>46290</v>
      </c>
      <c r="P166" s="3">
        <v>46290</v>
      </c>
      <c r="Q166" s="3">
        <v>46290</v>
      </c>
      <c r="R166" s="3">
        <v>46290</v>
      </c>
      <c r="S166" t="s">
        <v>801</v>
      </c>
      <c r="T166" t="s">
        <v>802</v>
      </c>
      <c r="U166" s="3"/>
      <c r="V166" s="4">
        <v>0</v>
      </c>
      <c r="W166" s="3">
        <v>46290</v>
      </c>
      <c r="X166" t="s">
        <v>2</v>
      </c>
      <c r="Y166" t="s">
        <v>11</v>
      </c>
      <c r="Z166" s="3"/>
      <c r="AA166" s="4">
        <v>0</v>
      </c>
      <c r="AB166" s="3"/>
      <c r="AC166" s="3">
        <v>46290</v>
      </c>
      <c r="AD166" t="s">
        <v>0</v>
      </c>
    </row>
    <row r="167" spans="1:30" hidden="1" x14ac:dyDescent="0.2">
      <c r="A167" t="s">
        <v>1</v>
      </c>
      <c r="B167" t="s">
        <v>10</v>
      </c>
      <c r="C167" t="s">
        <v>23</v>
      </c>
      <c r="D167" t="s">
        <v>803</v>
      </c>
      <c r="E167" t="s">
        <v>804</v>
      </c>
      <c r="F167" t="s">
        <v>0</v>
      </c>
      <c r="G167" t="s">
        <v>805</v>
      </c>
      <c r="H167" t="s">
        <v>55</v>
      </c>
      <c r="I167" s="2">
        <v>38</v>
      </c>
      <c r="J167" s="2">
        <v>0</v>
      </c>
      <c r="K167" s="2">
        <f t="shared" si="4"/>
        <v>38</v>
      </c>
      <c r="L167" s="2">
        <f t="shared" ca="1" si="5"/>
        <v>4</v>
      </c>
      <c r="M167" s="2" t="s">
        <v>1082</v>
      </c>
      <c r="N167" t="s">
        <v>229</v>
      </c>
      <c r="O167" s="3">
        <v>46290</v>
      </c>
      <c r="P167" s="3">
        <v>46290</v>
      </c>
      <c r="Q167" s="3">
        <v>46290</v>
      </c>
      <c r="R167" s="3">
        <v>46290</v>
      </c>
      <c r="S167" t="s">
        <v>806</v>
      </c>
      <c r="T167" t="s">
        <v>807</v>
      </c>
      <c r="U167" s="3"/>
      <c r="V167" s="4">
        <v>0</v>
      </c>
      <c r="W167" s="3">
        <v>46290</v>
      </c>
      <c r="X167" t="s">
        <v>2</v>
      </c>
      <c r="Y167" t="s">
        <v>11</v>
      </c>
      <c r="Z167" s="3"/>
      <c r="AA167" s="4">
        <v>0</v>
      </c>
      <c r="AB167" s="3"/>
      <c r="AC167" s="3">
        <v>46290</v>
      </c>
      <c r="AD167" t="s">
        <v>0</v>
      </c>
    </row>
    <row r="168" spans="1:30" hidden="1" x14ac:dyDescent="0.2">
      <c r="A168" t="s">
        <v>1</v>
      </c>
      <c r="B168" t="s">
        <v>10</v>
      </c>
      <c r="C168" t="s">
        <v>23</v>
      </c>
      <c r="D168" t="s">
        <v>808</v>
      </c>
      <c r="E168" t="s">
        <v>809</v>
      </c>
      <c r="F168" t="s">
        <v>0</v>
      </c>
      <c r="G168" t="s">
        <v>805</v>
      </c>
      <c r="H168" t="s">
        <v>55</v>
      </c>
      <c r="I168" s="2">
        <v>300</v>
      </c>
      <c r="J168" s="2">
        <v>0</v>
      </c>
      <c r="K168" s="2">
        <f t="shared" si="4"/>
        <v>300</v>
      </c>
      <c r="L168" s="2">
        <f t="shared" ca="1" si="5"/>
        <v>4</v>
      </c>
      <c r="M168" s="2" t="s">
        <v>1082</v>
      </c>
      <c r="N168" t="s">
        <v>153</v>
      </c>
      <c r="O168" s="3">
        <v>46290</v>
      </c>
      <c r="P168" s="3">
        <v>46290</v>
      </c>
      <c r="Q168" s="3">
        <v>46290</v>
      </c>
      <c r="R168" s="3">
        <v>46290</v>
      </c>
      <c r="S168" t="s">
        <v>810</v>
      </c>
      <c r="T168" t="s">
        <v>811</v>
      </c>
      <c r="U168" s="3"/>
      <c r="V168" s="4">
        <v>0</v>
      </c>
      <c r="W168" s="3">
        <v>46290</v>
      </c>
      <c r="X168" t="s">
        <v>2</v>
      </c>
      <c r="Y168" t="s">
        <v>34</v>
      </c>
      <c r="Z168" s="3"/>
      <c r="AA168" s="4">
        <v>0</v>
      </c>
      <c r="AB168" s="3"/>
      <c r="AC168" s="3">
        <v>46290</v>
      </c>
      <c r="AD168" t="s">
        <v>0</v>
      </c>
    </row>
    <row r="169" spans="1:30" hidden="1" x14ac:dyDescent="0.2">
      <c r="A169" t="s">
        <v>1</v>
      </c>
      <c r="B169" t="s">
        <v>10</v>
      </c>
      <c r="C169" t="s">
        <v>23</v>
      </c>
      <c r="D169" t="s">
        <v>812</v>
      </c>
      <c r="E169" t="s">
        <v>813</v>
      </c>
      <c r="F169" t="s">
        <v>0</v>
      </c>
      <c r="G169" t="s">
        <v>805</v>
      </c>
      <c r="H169" t="s">
        <v>55</v>
      </c>
      <c r="I169" s="2">
        <v>300</v>
      </c>
      <c r="J169" s="2">
        <v>0</v>
      </c>
      <c r="K169" s="2">
        <f t="shared" si="4"/>
        <v>300</v>
      </c>
      <c r="L169" s="2">
        <f t="shared" ca="1" si="5"/>
        <v>3</v>
      </c>
      <c r="M169" s="2" t="s">
        <v>1081</v>
      </c>
      <c r="N169" t="s">
        <v>153</v>
      </c>
      <c r="O169" s="3">
        <v>46290</v>
      </c>
      <c r="P169" s="3">
        <v>46291</v>
      </c>
      <c r="Q169" s="3">
        <v>46291</v>
      </c>
      <c r="R169" s="3">
        <v>46291</v>
      </c>
      <c r="S169" t="s">
        <v>814</v>
      </c>
      <c r="T169" t="s">
        <v>815</v>
      </c>
      <c r="U169" s="3"/>
      <c r="V169" s="4">
        <v>0</v>
      </c>
      <c r="W169" s="3">
        <v>46291</v>
      </c>
      <c r="X169" t="s">
        <v>2</v>
      </c>
      <c r="Y169" t="s">
        <v>11</v>
      </c>
      <c r="Z169" s="3"/>
      <c r="AA169" s="4">
        <v>0</v>
      </c>
      <c r="AB169" s="3"/>
      <c r="AC169" s="3">
        <v>46291</v>
      </c>
      <c r="AD169" t="s">
        <v>0</v>
      </c>
    </row>
    <row r="170" spans="1:30" hidden="1" x14ac:dyDescent="0.2">
      <c r="A170" t="s">
        <v>1</v>
      </c>
      <c r="B170" t="s">
        <v>10</v>
      </c>
      <c r="C170" t="s">
        <v>23</v>
      </c>
      <c r="D170" t="s">
        <v>816</v>
      </c>
      <c r="E170" t="s">
        <v>817</v>
      </c>
      <c r="F170" t="s">
        <v>0</v>
      </c>
      <c r="G170" t="s">
        <v>818</v>
      </c>
      <c r="H170" t="s">
        <v>819</v>
      </c>
      <c r="I170" s="2">
        <v>500</v>
      </c>
      <c r="J170" s="2">
        <v>0</v>
      </c>
      <c r="K170" s="2">
        <f t="shared" si="4"/>
        <v>500</v>
      </c>
      <c r="L170" s="2">
        <f t="shared" ca="1" si="5"/>
        <v>4</v>
      </c>
      <c r="M170" s="2" t="s">
        <v>1082</v>
      </c>
      <c r="N170" t="s">
        <v>153</v>
      </c>
      <c r="O170" s="3">
        <v>46290</v>
      </c>
      <c r="P170" s="3">
        <v>46290</v>
      </c>
      <c r="Q170" s="3">
        <v>46290</v>
      </c>
      <c r="R170" s="3">
        <v>46290</v>
      </c>
      <c r="S170" t="s">
        <v>820</v>
      </c>
      <c r="T170" t="s">
        <v>821</v>
      </c>
      <c r="U170" s="3"/>
      <c r="V170" s="4">
        <v>0</v>
      </c>
      <c r="W170" s="3">
        <v>46290</v>
      </c>
      <c r="X170" t="s">
        <v>2</v>
      </c>
      <c r="Y170" t="s">
        <v>11</v>
      </c>
      <c r="Z170" s="3"/>
      <c r="AA170" s="4">
        <v>0</v>
      </c>
      <c r="AB170" s="3"/>
      <c r="AC170" s="3">
        <v>46290</v>
      </c>
      <c r="AD170" t="s">
        <v>0</v>
      </c>
    </row>
    <row r="171" spans="1:30" hidden="1" x14ac:dyDescent="0.2">
      <c r="A171" t="s">
        <v>1</v>
      </c>
      <c r="B171" t="s">
        <v>10</v>
      </c>
      <c r="C171" t="s">
        <v>23</v>
      </c>
      <c r="D171" t="s">
        <v>822</v>
      </c>
      <c r="E171" t="s">
        <v>823</v>
      </c>
      <c r="F171" t="s">
        <v>0</v>
      </c>
      <c r="G171" t="s">
        <v>818</v>
      </c>
      <c r="H171" t="s">
        <v>819</v>
      </c>
      <c r="I171" s="2">
        <v>500</v>
      </c>
      <c r="J171" s="2">
        <v>0</v>
      </c>
      <c r="K171" s="2">
        <f t="shared" si="4"/>
        <v>500</v>
      </c>
      <c r="L171" s="2">
        <f t="shared" ca="1" si="5"/>
        <v>4</v>
      </c>
      <c r="M171" s="2" t="s">
        <v>1082</v>
      </c>
      <c r="N171" t="s">
        <v>153</v>
      </c>
      <c r="O171" s="3">
        <v>46290</v>
      </c>
      <c r="P171" s="3">
        <v>46290</v>
      </c>
      <c r="Q171" s="3">
        <v>46290</v>
      </c>
      <c r="R171" s="3">
        <v>46290</v>
      </c>
      <c r="S171" t="s">
        <v>824</v>
      </c>
      <c r="T171" t="s">
        <v>825</v>
      </c>
      <c r="U171" s="3"/>
      <c r="V171" s="4">
        <v>0</v>
      </c>
      <c r="W171" s="3">
        <v>46290</v>
      </c>
      <c r="X171" t="s">
        <v>2</v>
      </c>
      <c r="Y171" t="s">
        <v>11</v>
      </c>
      <c r="Z171" s="3"/>
      <c r="AA171" s="4">
        <v>0</v>
      </c>
      <c r="AB171" s="3"/>
      <c r="AC171" s="3">
        <v>46290</v>
      </c>
      <c r="AD171" t="s">
        <v>0</v>
      </c>
    </row>
    <row r="172" spans="1:30" hidden="1" x14ac:dyDescent="0.2">
      <c r="A172" t="s">
        <v>1</v>
      </c>
      <c r="B172" t="s">
        <v>10</v>
      </c>
      <c r="C172" t="s">
        <v>23</v>
      </c>
      <c r="D172" t="s">
        <v>826</v>
      </c>
      <c r="E172" t="s">
        <v>827</v>
      </c>
      <c r="F172" t="s">
        <v>0</v>
      </c>
      <c r="G172" t="s">
        <v>549</v>
      </c>
      <c r="H172" t="s">
        <v>550</v>
      </c>
      <c r="I172" s="2">
        <v>500</v>
      </c>
      <c r="J172" s="2">
        <v>0</v>
      </c>
      <c r="K172" s="2">
        <f t="shared" si="4"/>
        <v>500</v>
      </c>
      <c r="L172" s="2">
        <f t="shared" ca="1" si="5"/>
        <v>4</v>
      </c>
      <c r="M172" s="2" t="s">
        <v>1082</v>
      </c>
      <c r="N172" t="s">
        <v>828</v>
      </c>
      <c r="O172" s="3">
        <v>46290</v>
      </c>
      <c r="P172" s="3">
        <v>46290</v>
      </c>
      <c r="Q172" s="3">
        <v>46290</v>
      </c>
      <c r="R172" s="3">
        <v>46290</v>
      </c>
      <c r="S172" t="s">
        <v>829</v>
      </c>
      <c r="T172" t="s">
        <v>830</v>
      </c>
      <c r="U172" s="3"/>
      <c r="V172" s="4">
        <v>0</v>
      </c>
      <c r="W172" s="3">
        <v>46290</v>
      </c>
      <c r="X172" t="s">
        <v>2</v>
      </c>
      <c r="Y172" t="s">
        <v>11</v>
      </c>
      <c r="Z172" s="3"/>
      <c r="AA172" s="4">
        <v>0</v>
      </c>
      <c r="AB172" s="3"/>
      <c r="AC172" s="3">
        <v>46290</v>
      </c>
      <c r="AD172" t="s">
        <v>0</v>
      </c>
    </row>
    <row r="173" spans="1:30" hidden="1" x14ac:dyDescent="0.2">
      <c r="A173" t="s">
        <v>1</v>
      </c>
      <c r="B173" t="s">
        <v>3</v>
      </c>
      <c r="C173" t="s">
        <v>4</v>
      </c>
      <c r="D173" t="s">
        <v>831</v>
      </c>
      <c r="E173" t="s">
        <v>832</v>
      </c>
      <c r="F173" t="s">
        <v>0</v>
      </c>
      <c r="G173" t="s">
        <v>15</v>
      </c>
      <c r="H173" t="s">
        <v>16</v>
      </c>
      <c r="I173" s="2">
        <v>500</v>
      </c>
      <c r="J173" s="2">
        <v>0</v>
      </c>
      <c r="K173" s="2">
        <f t="shared" si="4"/>
        <v>500</v>
      </c>
      <c r="L173" s="2">
        <f t="shared" ca="1" si="5"/>
        <v>3</v>
      </c>
      <c r="M173" s="2" t="s">
        <v>1081</v>
      </c>
      <c r="N173" t="s">
        <v>62</v>
      </c>
      <c r="O173" s="3">
        <v>46291</v>
      </c>
      <c r="P173" s="3">
        <v>46291</v>
      </c>
      <c r="Q173" s="3">
        <v>46291</v>
      </c>
      <c r="R173" s="3">
        <v>46291</v>
      </c>
      <c r="S173" t="s">
        <v>833</v>
      </c>
      <c r="T173" t="s">
        <v>834</v>
      </c>
      <c r="U173" s="3"/>
      <c r="V173" s="4">
        <v>0</v>
      </c>
      <c r="W173" s="3">
        <v>46291</v>
      </c>
      <c r="X173" t="s">
        <v>2</v>
      </c>
      <c r="Y173" t="s">
        <v>0</v>
      </c>
      <c r="Z173" s="3"/>
      <c r="AA173" s="4">
        <v>0</v>
      </c>
      <c r="AB173" s="3"/>
      <c r="AC173" s="3">
        <v>46291</v>
      </c>
      <c r="AD173" t="s">
        <v>0</v>
      </c>
    </row>
    <row r="174" spans="1:30" hidden="1" x14ac:dyDescent="0.2">
      <c r="A174" t="s">
        <v>1</v>
      </c>
      <c r="B174" t="s">
        <v>5</v>
      </c>
      <c r="C174" t="s">
        <v>4</v>
      </c>
      <c r="D174" t="s">
        <v>835</v>
      </c>
      <c r="E174" t="s">
        <v>836</v>
      </c>
      <c r="F174" t="s">
        <v>0</v>
      </c>
      <c r="G174" t="s">
        <v>17</v>
      </c>
      <c r="H174" t="s">
        <v>18</v>
      </c>
      <c r="I174" s="2">
        <v>500</v>
      </c>
      <c r="J174" s="2">
        <v>0</v>
      </c>
      <c r="K174" s="2">
        <f t="shared" si="4"/>
        <v>500</v>
      </c>
      <c r="L174" s="2">
        <f t="shared" ca="1" si="5"/>
        <v>3</v>
      </c>
      <c r="M174" s="2" t="s">
        <v>1081</v>
      </c>
      <c r="N174" t="s">
        <v>160</v>
      </c>
      <c r="O174" s="3">
        <v>46291</v>
      </c>
      <c r="P174" s="3">
        <v>46291</v>
      </c>
      <c r="Q174" s="3">
        <v>46291</v>
      </c>
      <c r="R174" s="3">
        <v>46291</v>
      </c>
      <c r="S174" t="s">
        <v>837</v>
      </c>
      <c r="T174" t="s">
        <v>838</v>
      </c>
      <c r="U174" s="3"/>
      <c r="V174" s="4">
        <v>0</v>
      </c>
      <c r="W174" s="3">
        <v>46291</v>
      </c>
      <c r="X174" t="s">
        <v>2</v>
      </c>
      <c r="Y174" t="s">
        <v>0</v>
      </c>
      <c r="Z174" s="3"/>
      <c r="AA174" s="4">
        <v>0</v>
      </c>
      <c r="AB174" s="3"/>
      <c r="AC174" s="3">
        <v>46291</v>
      </c>
      <c r="AD174" t="s">
        <v>0</v>
      </c>
    </row>
    <row r="175" spans="1:30" hidden="1" x14ac:dyDescent="0.2">
      <c r="A175" t="s">
        <v>1</v>
      </c>
      <c r="B175" t="s">
        <v>5</v>
      </c>
      <c r="C175" t="s">
        <v>4</v>
      </c>
      <c r="D175" t="s">
        <v>839</v>
      </c>
      <c r="E175" t="s">
        <v>840</v>
      </c>
      <c r="F175" t="s">
        <v>0</v>
      </c>
      <c r="G175" t="s">
        <v>19</v>
      </c>
      <c r="H175" t="s">
        <v>20</v>
      </c>
      <c r="I175" s="2">
        <v>500</v>
      </c>
      <c r="J175" s="2">
        <v>0</v>
      </c>
      <c r="K175" s="2">
        <f t="shared" si="4"/>
        <v>500</v>
      </c>
      <c r="L175" s="2">
        <f t="shared" ca="1" si="5"/>
        <v>3</v>
      </c>
      <c r="M175" s="2" t="s">
        <v>1081</v>
      </c>
      <c r="N175" t="s">
        <v>160</v>
      </c>
      <c r="O175" s="3">
        <v>46291</v>
      </c>
      <c r="P175" s="3">
        <v>46291</v>
      </c>
      <c r="Q175" s="3">
        <v>46291</v>
      </c>
      <c r="R175" s="3">
        <v>46291</v>
      </c>
      <c r="S175" t="s">
        <v>841</v>
      </c>
      <c r="T175" t="s">
        <v>842</v>
      </c>
      <c r="U175" s="3"/>
      <c r="V175" s="4">
        <v>0</v>
      </c>
      <c r="W175" s="3">
        <v>46291</v>
      </c>
      <c r="X175" t="s">
        <v>2</v>
      </c>
      <c r="Y175" t="s">
        <v>0</v>
      </c>
      <c r="Z175" s="3"/>
      <c r="AA175" s="4">
        <v>0</v>
      </c>
      <c r="AB175" s="3"/>
      <c r="AC175" s="3">
        <v>46291</v>
      </c>
      <c r="AD175" t="s">
        <v>0</v>
      </c>
    </row>
    <row r="176" spans="1:30" hidden="1" x14ac:dyDescent="0.2">
      <c r="A176" t="s">
        <v>1</v>
      </c>
      <c r="B176" t="s">
        <v>5</v>
      </c>
      <c r="C176" t="s">
        <v>4</v>
      </c>
      <c r="D176" t="s">
        <v>843</v>
      </c>
      <c r="E176" t="s">
        <v>844</v>
      </c>
      <c r="F176" t="s">
        <v>0</v>
      </c>
      <c r="G176" t="s">
        <v>21</v>
      </c>
      <c r="H176" t="s">
        <v>22</v>
      </c>
      <c r="I176" s="2">
        <v>500</v>
      </c>
      <c r="J176" s="2">
        <v>0</v>
      </c>
      <c r="K176" s="2">
        <f t="shared" si="4"/>
        <v>500</v>
      </c>
      <c r="L176" s="2">
        <f t="shared" ca="1" si="5"/>
        <v>3</v>
      </c>
      <c r="M176" s="2" t="s">
        <v>1081</v>
      </c>
      <c r="N176" t="s">
        <v>160</v>
      </c>
      <c r="O176" s="3">
        <v>46291</v>
      </c>
      <c r="P176" s="3">
        <v>46291</v>
      </c>
      <c r="Q176" s="3">
        <v>46291</v>
      </c>
      <c r="R176" s="3">
        <v>46291</v>
      </c>
      <c r="S176" t="s">
        <v>845</v>
      </c>
      <c r="T176" t="s">
        <v>846</v>
      </c>
      <c r="U176" s="3"/>
      <c r="V176" s="4">
        <v>0</v>
      </c>
      <c r="W176" s="3">
        <v>46291</v>
      </c>
      <c r="X176" t="s">
        <v>2</v>
      </c>
      <c r="Y176" t="s">
        <v>0</v>
      </c>
      <c r="Z176" s="3"/>
      <c r="AA176" s="4">
        <v>0</v>
      </c>
      <c r="AB176" s="3"/>
      <c r="AC176" s="3">
        <v>46291</v>
      </c>
      <c r="AD176" t="s">
        <v>0</v>
      </c>
    </row>
    <row r="177" spans="1:30" hidden="1" x14ac:dyDescent="0.2">
      <c r="A177" t="s">
        <v>1</v>
      </c>
      <c r="B177" t="s">
        <v>3</v>
      </c>
      <c r="C177" t="s">
        <v>4</v>
      </c>
      <c r="D177" t="s">
        <v>847</v>
      </c>
      <c r="E177" t="s">
        <v>848</v>
      </c>
      <c r="F177" t="s">
        <v>0</v>
      </c>
      <c r="G177" t="s">
        <v>15</v>
      </c>
      <c r="H177" t="s">
        <v>16</v>
      </c>
      <c r="I177" s="2">
        <v>500</v>
      </c>
      <c r="J177" s="2">
        <v>0</v>
      </c>
      <c r="K177" s="2">
        <f t="shared" si="4"/>
        <v>500</v>
      </c>
      <c r="L177" s="2">
        <f t="shared" ca="1" si="5"/>
        <v>3</v>
      </c>
      <c r="M177" s="2" t="s">
        <v>1081</v>
      </c>
      <c r="N177" t="s">
        <v>160</v>
      </c>
      <c r="O177" s="3">
        <v>46291</v>
      </c>
      <c r="P177" s="3">
        <v>46291</v>
      </c>
      <c r="Q177" s="3">
        <v>46291</v>
      </c>
      <c r="R177" s="3">
        <v>46291</v>
      </c>
      <c r="S177" t="s">
        <v>849</v>
      </c>
      <c r="T177" t="s">
        <v>850</v>
      </c>
      <c r="U177" s="3"/>
      <c r="V177" s="4">
        <v>0</v>
      </c>
      <c r="W177" s="3">
        <v>46291</v>
      </c>
      <c r="X177" t="s">
        <v>2</v>
      </c>
      <c r="Y177" t="s">
        <v>0</v>
      </c>
      <c r="Z177" s="3"/>
      <c r="AA177" s="4">
        <v>0</v>
      </c>
      <c r="AB177" s="3"/>
      <c r="AC177" s="3">
        <v>46291</v>
      </c>
      <c r="AD177" t="s">
        <v>0</v>
      </c>
    </row>
    <row r="178" spans="1:30" hidden="1" x14ac:dyDescent="0.2">
      <c r="A178" t="s">
        <v>1</v>
      </c>
      <c r="B178" t="s">
        <v>5</v>
      </c>
      <c r="C178" t="s">
        <v>4</v>
      </c>
      <c r="D178" t="s">
        <v>851</v>
      </c>
      <c r="E178" t="s">
        <v>852</v>
      </c>
      <c r="F178" t="s">
        <v>0</v>
      </c>
      <c r="G178" t="s">
        <v>17</v>
      </c>
      <c r="H178" t="s">
        <v>18</v>
      </c>
      <c r="I178" s="2">
        <v>500</v>
      </c>
      <c r="J178" s="2">
        <v>0</v>
      </c>
      <c r="K178" s="2">
        <f t="shared" si="4"/>
        <v>500</v>
      </c>
      <c r="L178" s="2">
        <f t="shared" ca="1" si="5"/>
        <v>3</v>
      </c>
      <c r="M178" s="2" t="s">
        <v>1081</v>
      </c>
      <c r="N178" t="s">
        <v>160</v>
      </c>
      <c r="O178" s="3">
        <v>46291</v>
      </c>
      <c r="P178" s="3">
        <v>46291</v>
      </c>
      <c r="Q178" s="3">
        <v>46291</v>
      </c>
      <c r="R178" s="3">
        <v>46291</v>
      </c>
      <c r="S178" t="s">
        <v>853</v>
      </c>
      <c r="T178" t="s">
        <v>854</v>
      </c>
      <c r="U178" s="3"/>
      <c r="V178" s="4">
        <v>0</v>
      </c>
      <c r="W178" s="3">
        <v>46291</v>
      </c>
      <c r="X178" t="s">
        <v>2</v>
      </c>
      <c r="Y178" t="s">
        <v>0</v>
      </c>
      <c r="Z178" s="3"/>
      <c r="AA178" s="4">
        <v>0</v>
      </c>
      <c r="AB178" s="3"/>
      <c r="AC178" s="3">
        <v>46291</v>
      </c>
      <c r="AD178" t="s">
        <v>0</v>
      </c>
    </row>
    <row r="179" spans="1:30" hidden="1" x14ac:dyDescent="0.2">
      <c r="A179" t="s">
        <v>1</v>
      </c>
      <c r="B179" t="s">
        <v>5</v>
      </c>
      <c r="C179" t="s">
        <v>4</v>
      </c>
      <c r="D179" t="s">
        <v>855</v>
      </c>
      <c r="E179" t="s">
        <v>856</v>
      </c>
      <c r="F179" t="s">
        <v>0</v>
      </c>
      <c r="G179" t="s">
        <v>19</v>
      </c>
      <c r="H179" t="s">
        <v>20</v>
      </c>
      <c r="I179" s="2">
        <v>500</v>
      </c>
      <c r="J179" s="2">
        <v>0</v>
      </c>
      <c r="K179" s="2">
        <f t="shared" si="4"/>
        <v>500</v>
      </c>
      <c r="L179" s="2">
        <f t="shared" ca="1" si="5"/>
        <v>3</v>
      </c>
      <c r="M179" s="2" t="s">
        <v>1081</v>
      </c>
      <c r="N179" t="s">
        <v>160</v>
      </c>
      <c r="O179" s="3">
        <v>46291</v>
      </c>
      <c r="P179" s="3">
        <v>46291</v>
      </c>
      <c r="Q179" s="3">
        <v>46291</v>
      </c>
      <c r="R179" s="3">
        <v>46291</v>
      </c>
      <c r="S179" t="s">
        <v>857</v>
      </c>
      <c r="T179" t="s">
        <v>858</v>
      </c>
      <c r="U179" s="3"/>
      <c r="V179" s="4">
        <v>0</v>
      </c>
      <c r="W179" s="3">
        <v>46291</v>
      </c>
      <c r="X179" t="s">
        <v>2</v>
      </c>
      <c r="Y179" t="s">
        <v>0</v>
      </c>
      <c r="Z179" s="3"/>
      <c r="AA179" s="4">
        <v>0</v>
      </c>
      <c r="AB179" s="3"/>
      <c r="AC179" s="3">
        <v>46291</v>
      </c>
      <c r="AD179" t="s">
        <v>0</v>
      </c>
    </row>
    <row r="180" spans="1:30" hidden="1" x14ac:dyDescent="0.2">
      <c r="A180" t="s">
        <v>1</v>
      </c>
      <c r="B180" t="s">
        <v>5</v>
      </c>
      <c r="C180" t="s">
        <v>4</v>
      </c>
      <c r="D180" t="s">
        <v>859</v>
      </c>
      <c r="E180" t="s">
        <v>860</v>
      </c>
      <c r="F180" t="s">
        <v>0</v>
      </c>
      <c r="G180" t="s">
        <v>21</v>
      </c>
      <c r="H180" t="s">
        <v>22</v>
      </c>
      <c r="I180" s="2">
        <v>500</v>
      </c>
      <c r="J180" s="2">
        <v>0</v>
      </c>
      <c r="K180" s="2">
        <f t="shared" si="4"/>
        <v>500</v>
      </c>
      <c r="L180" s="2">
        <f t="shared" ca="1" si="5"/>
        <v>3</v>
      </c>
      <c r="M180" s="2" t="s">
        <v>1081</v>
      </c>
      <c r="N180" t="s">
        <v>160</v>
      </c>
      <c r="O180" s="3">
        <v>46291</v>
      </c>
      <c r="P180" s="3">
        <v>46291</v>
      </c>
      <c r="Q180" s="3">
        <v>46291</v>
      </c>
      <c r="R180" s="3">
        <v>46291</v>
      </c>
      <c r="S180" t="s">
        <v>861</v>
      </c>
      <c r="T180" t="s">
        <v>862</v>
      </c>
      <c r="U180" s="3"/>
      <c r="V180" s="4">
        <v>0</v>
      </c>
      <c r="W180" s="3">
        <v>46291</v>
      </c>
      <c r="X180" t="s">
        <v>2</v>
      </c>
      <c r="Y180" t="s">
        <v>0</v>
      </c>
      <c r="Z180" s="3"/>
      <c r="AA180" s="4">
        <v>0</v>
      </c>
      <c r="AB180" s="3"/>
      <c r="AC180" s="3">
        <v>46291</v>
      </c>
      <c r="AD180" t="s">
        <v>0</v>
      </c>
    </row>
    <row r="181" spans="1:30" hidden="1" x14ac:dyDescent="0.2">
      <c r="A181" t="s">
        <v>1</v>
      </c>
      <c r="B181" t="s">
        <v>10</v>
      </c>
      <c r="C181" t="s">
        <v>23</v>
      </c>
      <c r="D181" t="s">
        <v>863</v>
      </c>
      <c r="E181" t="s">
        <v>864</v>
      </c>
      <c r="F181" t="s">
        <v>0</v>
      </c>
      <c r="G181" t="s">
        <v>540</v>
      </c>
      <c r="H181" t="s">
        <v>535</v>
      </c>
      <c r="I181" s="2">
        <v>500</v>
      </c>
      <c r="J181" s="2">
        <v>0</v>
      </c>
      <c r="K181" s="2">
        <f t="shared" si="4"/>
        <v>500</v>
      </c>
      <c r="L181" s="2">
        <f t="shared" ca="1" si="5"/>
        <v>3</v>
      </c>
      <c r="M181" s="2" t="s">
        <v>1081</v>
      </c>
      <c r="N181" t="s">
        <v>865</v>
      </c>
      <c r="O181" s="3">
        <v>46291</v>
      </c>
      <c r="P181" s="3">
        <v>46291</v>
      </c>
      <c r="Q181" s="3">
        <v>46291</v>
      </c>
      <c r="R181" s="3">
        <v>46291</v>
      </c>
      <c r="S181" t="s">
        <v>866</v>
      </c>
      <c r="T181" t="s">
        <v>867</v>
      </c>
      <c r="U181" s="3"/>
      <c r="V181" s="4">
        <v>0</v>
      </c>
      <c r="W181" s="3">
        <v>46291</v>
      </c>
      <c r="X181" t="s">
        <v>2</v>
      </c>
      <c r="Y181" t="s">
        <v>11</v>
      </c>
      <c r="Z181" s="3"/>
      <c r="AA181" s="4">
        <v>0</v>
      </c>
      <c r="AB181" s="3"/>
      <c r="AC181" s="3">
        <v>46291</v>
      </c>
      <c r="AD181" t="s">
        <v>0</v>
      </c>
    </row>
    <row r="182" spans="1:30" hidden="1" x14ac:dyDescent="0.2">
      <c r="A182" t="s">
        <v>1</v>
      </c>
      <c r="B182" t="s">
        <v>10</v>
      </c>
      <c r="C182" t="s">
        <v>23</v>
      </c>
      <c r="D182" t="s">
        <v>868</v>
      </c>
      <c r="E182" t="s">
        <v>869</v>
      </c>
      <c r="F182" t="s">
        <v>0</v>
      </c>
      <c r="G182" t="s">
        <v>870</v>
      </c>
      <c r="H182" t="s">
        <v>871</v>
      </c>
      <c r="I182" s="2">
        <v>300</v>
      </c>
      <c r="J182" s="2">
        <v>0</v>
      </c>
      <c r="K182" s="2">
        <f t="shared" si="4"/>
        <v>300</v>
      </c>
      <c r="L182" s="2">
        <f t="shared" ca="1" si="5"/>
        <v>3</v>
      </c>
      <c r="M182" s="2" t="s">
        <v>1081</v>
      </c>
      <c r="N182" t="s">
        <v>62</v>
      </c>
      <c r="O182" s="3">
        <v>46291</v>
      </c>
      <c r="P182" s="3">
        <v>46291</v>
      </c>
      <c r="Q182" s="3">
        <v>46291</v>
      </c>
      <c r="R182" s="3">
        <v>46291</v>
      </c>
      <c r="S182" t="s">
        <v>872</v>
      </c>
      <c r="T182" t="s">
        <v>873</v>
      </c>
      <c r="U182" s="3"/>
      <c r="V182" s="4">
        <v>0</v>
      </c>
      <c r="W182" s="3">
        <v>46291</v>
      </c>
      <c r="X182" t="s">
        <v>2</v>
      </c>
      <c r="Y182" t="s">
        <v>11</v>
      </c>
      <c r="Z182" s="3"/>
      <c r="AA182" s="4">
        <v>0</v>
      </c>
      <c r="AB182" s="3"/>
      <c r="AC182" s="3">
        <v>46291</v>
      </c>
      <c r="AD182" t="s">
        <v>0</v>
      </c>
    </row>
    <row r="183" spans="1:30" hidden="1" x14ac:dyDescent="0.2">
      <c r="A183" t="s">
        <v>1</v>
      </c>
      <c r="B183" t="s">
        <v>10</v>
      </c>
      <c r="C183" t="s">
        <v>23</v>
      </c>
      <c r="D183" t="s">
        <v>874</v>
      </c>
      <c r="E183" t="s">
        <v>875</v>
      </c>
      <c r="F183" t="s">
        <v>0</v>
      </c>
      <c r="G183" t="s">
        <v>870</v>
      </c>
      <c r="H183" t="s">
        <v>871</v>
      </c>
      <c r="I183" s="2">
        <v>300</v>
      </c>
      <c r="J183" s="2">
        <v>0</v>
      </c>
      <c r="K183" s="2">
        <f t="shared" si="4"/>
        <v>300</v>
      </c>
      <c r="L183" s="2">
        <f t="shared" ca="1" si="5"/>
        <v>3</v>
      </c>
      <c r="M183" s="2" t="s">
        <v>1081</v>
      </c>
      <c r="N183" t="s">
        <v>62</v>
      </c>
      <c r="O183" s="3">
        <v>46291</v>
      </c>
      <c r="P183" s="3">
        <v>46291</v>
      </c>
      <c r="Q183" s="3">
        <v>46291</v>
      </c>
      <c r="R183" s="3">
        <v>46291</v>
      </c>
      <c r="S183" t="s">
        <v>876</v>
      </c>
      <c r="T183" t="s">
        <v>877</v>
      </c>
      <c r="U183" s="3"/>
      <c r="V183" s="4">
        <v>0</v>
      </c>
      <c r="W183" s="3">
        <v>46291</v>
      </c>
      <c r="X183" t="s">
        <v>2</v>
      </c>
      <c r="Y183" t="s">
        <v>34</v>
      </c>
      <c r="Z183" s="3"/>
      <c r="AA183" s="4">
        <v>0</v>
      </c>
      <c r="AB183" s="3"/>
      <c r="AC183" s="3">
        <v>46291</v>
      </c>
      <c r="AD183" t="s">
        <v>0</v>
      </c>
    </row>
    <row r="184" spans="1:30" hidden="1" x14ac:dyDescent="0.2">
      <c r="A184" t="s">
        <v>1</v>
      </c>
      <c r="B184" t="s">
        <v>10</v>
      </c>
      <c r="C184" t="s">
        <v>23</v>
      </c>
      <c r="D184" t="s">
        <v>878</v>
      </c>
      <c r="E184" t="s">
        <v>879</v>
      </c>
      <c r="F184" t="s">
        <v>0</v>
      </c>
      <c r="G184" t="s">
        <v>870</v>
      </c>
      <c r="H184" t="s">
        <v>871</v>
      </c>
      <c r="I184" s="2">
        <v>300</v>
      </c>
      <c r="J184" s="2">
        <v>0</v>
      </c>
      <c r="K184" s="2">
        <f t="shared" si="4"/>
        <v>300</v>
      </c>
      <c r="L184" s="2">
        <f t="shared" ca="1" si="5"/>
        <v>3</v>
      </c>
      <c r="M184" s="2" t="s">
        <v>1081</v>
      </c>
      <c r="N184" t="s">
        <v>62</v>
      </c>
      <c r="O184" s="3">
        <v>46291</v>
      </c>
      <c r="P184" s="3">
        <v>46291</v>
      </c>
      <c r="Q184" s="3">
        <v>46291</v>
      </c>
      <c r="R184" s="3">
        <v>46291</v>
      </c>
      <c r="S184" t="s">
        <v>880</v>
      </c>
      <c r="T184" t="s">
        <v>881</v>
      </c>
      <c r="U184" s="3"/>
      <c r="V184" s="4">
        <v>0</v>
      </c>
      <c r="W184" s="3">
        <v>46291</v>
      </c>
      <c r="X184" t="s">
        <v>2</v>
      </c>
      <c r="Y184" t="s">
        <v>34</v>
      </c>
      <c r="Z184" s="3"/>
      <c r="AA184" s="4">
        <v>0</v>
      </c>
      <c r="AB184" s="3"/>
      <c r="AC184" s="3">
        <v>46291</v>
      </c>
      <c r="AD184" t="s">
        <v>0</v>
      </c>
    </row>
    <row r="185" spans="1:30" hidden="1" x14ac:dyDescent="0.2">
      <c r="A185" t="s">
        <v>1</v>
      </c>
      <c r="B185" t="s">
        <v>10</v>
      </c>
      <c r="C185" t="s">
        <v>23</v>
      </c>
      <c r="D185" t="s">
        <v>882</v>
      </c>
      <c r="E185" t="s">
        <v>883</v>
      </c>
      <c r="F185" t="s">
        <v>0</v>
      </c>
      <c r="G185" t="s">
        <v>870</v>
      </c>
      <c r="H185" t="s">
        <v>871</v>
      </c>
      <c r="I185" s="2">
        <v>285</v>
      </c>
      <c r="J185" s="2">
        <v>0</v>
      </c>
      <c r="K185" s="2">
        <f t="shared" si="4"/>
        <v>285</v>
      </c>
      <c r="L185" s="2">
        <f t="shared" ca="1" si="5"/>
        <v>3</v>
      </c>
      <c r="M185" s="2" t="s">
        <v>1081</v>
      </c>
      <c r="N185" t="s">
        <v>160</v>
      </c>
      <c r="O185" s="3">
        <v>46291</v>
      </c>
      <c r="P185" s="3">
        <v>46291</v>
      </c>
      <c r="Q185" s="3">
        <v>46291</v>
      </c>
      <c r="R185" s="3">
        <v>46291</v>
      </c>
      <c r="S185" t="s">
        <v>884</v>
      </c>
      <c r="T185" t="s">
        <v>885</v>
      </c>
      <c r="U185" s="3"/>
      <c r="V185" s="4">
        <v>0</v>
      </c>
      <c r="W185" s="3">
        <v>46291</v>
      </c>
      <c r="X185" t="s">
        <v>2</v>
      </c>
      <c r="Y185" t="s">
        <v>34</v>
      </c>
      <c r="Z185" s="3"/>
      <c r="AA185" s="4">
        <v>0</v>
      </c>
      <c r="AB185" s="3"/>
      <c r="AC185" s="3">
        <v>46291</v>
      </c>
      <c r="AD185" t="s">
        <v>0</v>
      </c>
    </row>
    <row r="186" spans="1:30" hidden="1" x14ac:dyDescent="0.2">
      <c r="A186" t="s">
        <v>1</v>
      </c>
      <c r="B186" t="s">
        <v>10</v>
      </c>
      <c r="C186" t="s">
        <v>23</v>
      </c>
      <c r="D186" t="s">
        <v>886</v>
      </c>
      <c r="E186" t="s">
        <v>887</v>
      </c>
      <c r="F186" t="s">
        <v>0</v>
      </c>
      <c r="G186" t="s">
        <v>69</v>
      </c>
      <c r="H186" t="s">
        <v>42</v>
      </c>
      <c r="I186" s="2">
        <v>115</v>
      </c>
      <c r="J186" s="2">
        <v>0</v>
      </c>
      <c r="K186" s="2">
        <f t="shared" si="4"/>
        <v>115</v>
      </c>
      <c r="L186" s="2">
        <f t="shared" ca="1" si="5"/>
        <v>3</v>
      </c>
      <c r="M186" s="2" t="s">
        <v>1081</v>
      </c>
      <c r="N186" t="s">
        <v>62</v>
      </c>
      <c r="O186" s="3">
        <v>46291</v>
      </c>
      <c r="P186" s="3">
        <v>46291</v>
      </c>
      <c r="Q186" s="3">
        <v>46291</v>
      </c>
      <c r="R186" s="3">
        <v>46291</v>
      </c>
      <c r="S186" t="s">
        <v>888</v>
      </c>
      <c r="T186" t="s">
        <v>889</v>
      </c>
      <c r="U186" s="3"/>
      <c r="V186" s="4">
        <v>0</v>
      </c>
      <c r="W186" s="3">
        <v>46291</v>
      </c>
      <c r="X186" t="s">
        <v>2</v>
      </c>
      <c r="Y186" t="s">
        <v>11</v>
      </c>
      <c r="Z186" s="3"/>
      <c r="AA186" s="4">
        <v>0</v>
      </c>
      <c r="AB186" s="3"/>
      <c r="AC186" s="3">
        <v>46291</v>
      </c>
      <c r="AD186" t="s">
        <v>0</v>
      </c>
    </row>
    <row r="187" spans="1:30" hidden="1" x14ac:dyDescent="0.2">
      <c r="A187" t="s">
        <v>1</v>
      </c>
      <c r="B187" t="s">
        <v>10</v>
      </c>
      <c r="C187" t="s">
        <v>23</v>
      </c>
      <c r="D187" t="s">
        <v>890</v>
      </c>
      <c r="E187" t="s">
        <v>891</v>
      </c>
      <c r="F187" t="s">
        <v>0</v>
      </c>
      <c r="G187" t="s">
        <v>69</v>
      </c>
      <c r="H187" t="s">
        <v>42</v>
      </c>
      <c r="I187" s="2">
        <v>150</v>
      </c>
      <c r="J187" s="2">
        <v>0</v>
      </c>
      <c r="K187" s="2">
        <f t="shared" si="4"/>
        <v>150</v>
      </c>
      <c r="L187" s="2">
        <f t="shared" ca="1" si="5"/>
        <v>3</v>
      </c>
      <c r="M187" s="2" t="s">
        <v>1081</v>
      </c>
      <c r="N187" t="s">
        <v>62</v>
      </c>
      <c r="O187" s="3">
        <v>46291</v>
      </c>
      <c r="P187" s="3">
        <v>46291</v>
      </c>
      <c r="Q187" s="3">
        <v>46291</v>
      </c>
      <c r="R187" s="3">
        <v>46291</v>
      </c>
      <c r="S187" t="s">
        <v>892</v>
      </c>
      <c r="T187" t="s">
        <v>893</v>
      </c>
      <c r="U187" s="3"/>
      <c r="V187" s="4">
        <v>0</v>
      </c>
      <c r="W187" s="3">
        <v>46291</v>
      </c>
      <c r="X187" t="s">
        <v>2</v>
      </c>
      <c r="Y187" t="s">
        <v>11</v>
      </c>
      <c r="Z187" s="3"/>
      <c r="AA187" s="4">
        <v>0</v>
      </c>
      <c r="AB187" s="3"/>
      <c r="AC187" s="3">
        <v>46291</v>
      </c>
      <c r="AD187" t="s">
        <v>0</v>
      </c>
    </row>
    <row r="188" spans="1:30" hidden="1" x14ac:dyDescent="0.2">
      <c r="A188" t="s">
        <v>1</v>
      </c>
      <c r="B188" t="s">
        <v>3</v>
      </c>
      <c r="C188" t="s">
        <v>4</v>
      </c>
      <c r="D188" t="s">
        <v>894</v>
      </c>
      <c r="E188" t="s">
        <v>895</v>
      </c>
      <c r="F188" t="s">
        <v>0</v>
      </c>
      <c r="G188" t="s">
        <v>45</v>
      </c>
      <c r="H188" t="s">
        <v>46</v>
      </c>
      <c r="I188" s="2">
        <v>500</v>
      </c>
      <c r="J188" s="2">
        <v>0</v>
      </c>
      <c r="K188" s="2">
        <f t="shared" si="4"/>
        <v>500</v>
      </c>
      <c r="L188" s="2">
        <f t="shared" ca="1" si="5"/>
        <v>3</v>
      </c>
      <c r="M188" s="2" t="s">
        <v>1081</v>
      </c>
      <c r="N188" t="s">
        <v>160</v>
      </c>
      <c r="O188" s="3">
        <v>46291</v>
      </c>
      <c r="P188" s="3">
        <v>46291</v>
      </c>
      <c r="Q188" s="3">
        <v>46291</v>
      </c>
      <c r="R188" s="3">
        <v>46291</v>
      </c>
      <c r="S188" t="s">
        <v>896</v>
      </c>
      <c r="T188" t="s">
        <v>897</v>
      </c>
      <c r="U188" s="3"/>
      <c r="V188" s="4">
        <v>0</v>
      </c>
      <c r="W188" s="3">
        <v>46291</v>
      </c>
      <c r="X188" t="s">
        <v>2</v>
      </c>
      <c r="Y188" t="s">
        <v>0</v>
      </c>
      <c r="Z188" s="3"/>
      <c r="AA188" s="4">
        <v>0</v>
      </c>
      <c r="AB188" s="3"/>
      <c r="AC188" s="3">
        <v>46291</v>
      </c>
      <c r="AD188" t="s">
        <v>0</v>
      </c>
    </row>
    <row r="189" spans="1:30" hidden="1" x14ac:dyDescent="0.2">
      <c r="A189" t="s">
        <v>1</v>
      </c>
      <c r="B189" t="s">
        <v>5</v>
      </c>
      <c r="C189" t="s">
        <v>4</v>
      </c>
      <c r="D189" t="s">
        <v>898</v>
      </c>
      <c r="E189" t="s">
        <v>899</v>
      </c>
      <c r="F189" t="s">
        <v>0</v>
      </c>
      <c r="G189" t="s">
        <v>47</v>
      </c>
      <c r="H189" t="s">
        <v>48</v>
      </c>
      <c r="I189" s="2">
        <v>500</v>
      </c>
      <c r="J189" s="2">
        <v>0</v>
      </c>
      <c r="K189" s="2">
        <f t="shared" si="4"/>
        <v>500</v>
      </c>
      <c r="L189" s="2">
        <f t="shared" ca="1" si="5"/>
        <v>3</v>
      </c>
      <c r="M189" s="2" t="s">
        <v>1081</v>
      </c>
      <c r="N189" t="s">
        <v>160</v>
      </c>
      <c r="O189" s="3">
        <v>46291</v>
      </c>
      <c r="P189" s="3">
        <v>46291</v>
      </c>
      <c r="Q189" s="3">
        <v>46291</v>
      </c>
      <c r="R189" s="3">
        <v>46291</v>
      </c>
      <c r="S189" t="s">
        <v>900</v>
      </c>
      <c r="T189" t="s">
        <v>901</v>
      </c>
      <c r="U189" s="3"/>
      <c r="V189" s="4">
        <v>0</v>
      </c>
      <c r="W189" s="3">
        <v>46291</v>
      </c>
      <c r="X189" t="s">
        <v>2</v>
      </c>
      <c r="Y189" t="s">
        <v>0</v>
      </c>
      <c r="Z189" s="3"/>
      <c r="AA189" s="4">
        <v>0</v>
      </c>
      <c r="AB189" s="3"/>
      <c r="AC189" s="3">
        <v>46291</v>
      </c>
      <c r="AD189" t="s">
        <v>0</v>
      </c>
    </row>
    <row r="190" spans="1:30" hidden="1" x14ac:dyDescent="0.2">
      <c r="A190" t="s">
        <v>1</v>
      </c>
      <c r="B190" t="s">
        <v>3</v>
      </c>
      <c r="C190" t="s">
        <v>4</v>
      </c>
      <c r="D190" t="s">
        <v>902</v>
      </c>
      <c r="E190" t="s">
        <v>903</v>
      </c>
      <c r="F190" t="s">
        <v>0</v>
      </c>
      <c r="G190" t="s">
        <v>45</v>
      </c>
      <c r="H190" t="s">
        <v>46</v>
      </c>
      <c r="I190" s="2">
        <v>500</v>
      </c>
      <c r="J190" s="2">
        <v>0</v>
      </c>
      <c r="K190" s="2">
        <f t="shared" si="4"/>
        <v>500</v>
      </c>
      <c r="L190" s="2">
        <f t="shared" ca="1" si="5"/>
        <v>3</v>
      </c>
      <c r="M190" s="2" t="s">
        <v>1081</v>
      </c>
      <c r="N190" t="s">
        <v>160</v>
      </c>
      <c r="O190" s="3">
        <v>46291</v>
      </c>
      <c r="P190" s="3">
        <v>46291</v>
      </c>
      <c r="Q190" s="3">
        <v>46291</v>
      </c>
      <c r="R190" s="3">
        <v>46291</v>
      </c>
      <c r="S190" t="s">
        <v>904</v>
      </c>
      <c r="T190" t="s">
        <v>905</v>
      </c>
      <c r="U190" s="3"/>
      <c r="V190" s="4">
        <v>0</v>
      </c>
      <c r="W190" s="3">
        <v>46291</v>
      </c>
      <c r="X190" t="s">
        <v>2</v>
      </c>
      <c r="Y190" t="s">
        <v>0</v>
      </c>
      <c r="Z190" s="3"/>
      <c r="AA190" s="4">
        <v>0</v>
      </c>
      <c r="AB190" s="3"/>
      <c r="AC190" s="3">
        <v>46291</v>
      </c>
      <c r="AD190" t="s">
        <v>0</v>
      </c>
    </row>
    <row r="191" spans="1:30" hidden="1" x14ac:dyDescent="0.2">
      <c r="A191" t="s">
        <v>1</v>
      </c>
      <c r="B191" t="s">
        <v>5</v>
      </c>
      <c r="C191" t="s">
        <v>4</v>
      </c>
      <c r="D191" t="s">
        <v>906</v>
      </c>
      <c r="E191" t="s">
        <v>907</v>
      </c>
      <c r="F191" t="s">
        <v>0</v>
      </c>
      <c r="G191" t="s">
        <v>47</v>
      </c>
      <c r="H191" t="s">
        <v>48</v>
      </c>
      <c r="I191" s="2">
        <v>500</v>
      </c>
      <c r="J191" s="2">
        <v>0</v>
      </c>
      <c r="K191" s="2">
        <f t="shared" si="4"/>
        <v>500</v>
      </c>
      <c r="L191" s="2">
        <f t="shared" ca="1" si="5"/>
        <v>3</v>
      </c>
      <c r="M191" s="2" t="s">
        <v>1081</v>
      </c>
      <c r="N191" t="s">
        <v>160</v>
      </c>
      <c r="O191" s="3">
        <v>46291</v>
      </c>
      <c r="P191" s="3">
        <v>46291</v>
      </c>
      <c r="Q191" s="3">
        <v>46291</v>
      </c>
      <c r="R191" s="3">
        <v>46291</v>
      </c>
      <c r="S191" t="s">
        <v>908</v>
      </c>
      <c r="T191" t="s">
        <v>909</v>
      </c>
      <c r="U191" s="3"/>
      <c r="V191" s="4">
        <v>0</v>
      </c>
      <c r="W191" s="3">
        <v>46291</v>
      </c>
      <c r="X191" t="s">
        <v>2</v>
      </c>
      <c r="Y191" t="s">
        <v>0</v>
      </c>
      <c r="Z191" s="3"/>
      <c r="AA191" s="4">
        <v>0</v>
      </c>
      <c r="AB191" s="3"/>
      <c r="AC191" s="3">
        <v>46291</v>
      </c>
      <c r="AD191" t="s">
        <v>0</v>
      </c>
    </row>
    <row r="192" spans="1:30" hidden="1" x14ac:dyDescent="0.2">
      <c r="A192" t="s">
        <v>1</v>
      </c>
      <c r="B192" t="s">
        <v>3</v>
      </c>
      <c r="C192" t="s">
        <v>4</v>
      </c>
      <c r="D192" t="s">
        <v>910</v>
      </c>
      <c r="E192" t="s">
        <v>911</v>
      </c>
      <c r="F192" t="s">
        <v>0</v>
      </c>
      <c r="G192" t="s">
        <v>721</v>
      </c>
      <c r="H192" t="s">
        <v>722</v>
      </c>
      <c r="I192" s="2">
        <v>30</v>
      </c>
      <c r="J192" s="2">
        <v>0</v>
      </c>
      <c r="K192" s="2">
        <f t="shared" si="4"/>
        <v>30</v>
      </c>
      <c r="L192" s="2">
        <f t="shared" ca="1" si="5"/>
        <v>2</v>
      </c>
      <c r="M192" s="2" t="s">
        <v>1081</v>
      </c>
      <c r="N192" t="s">
        <v>160</v>
      </c>
      <c r="O192" s="3">
        <v>46292</v>
      </c>
      <c r="P192" s="3">
        <v>46292</v>
      </c>
      <c r="Q192" s="3">
        <v>46292</v>
      </c>
      <c r="R192" s="3">
        <v>46292</v>
      </c>
      <c r="S192" t="s">
        <v>912</v>
      </c>
      <c r="T192" t="s">
        <v>913</v>
      </c>
      <c r="U192" s="3"/>
      <c r="V192" s="4">
        <v>0</v>
      </c>
      <c r="W192" s="3">
        <v>46292</v>
      </c>
      <c r="X192" t="s">
        <v>2</v>
      </c>
      <c r="Y192" t="s">
        <v>0</v>
      </c>
      <c r="Z192" s="3"/>
      <c r="AA192" s="4">
        <v>0</v>
      </c>
      <c r="AB192" s="3"/>
      <c r="AC192" s="3">
        <v>46292</v>
      </c>
      <c r="AD192" t="s">
        <v>0</v>
      </c>
    </row>
    <row r="193" spans="1:30" hidden="1" x14ac:dyDescent="0.2">
      <c r="A193" t="s">
        <v>1</v>
      </c>
      <c r="B193" t="s">
        <v>3</v>
      </c>
      <c r="C193" t="s">
        <v>4</v>
      </c>
      <c r="D193" t="s">
        <v>914</v>
      </c>
      <c r="E193" t="s">
        <v>915</v>
      </c>
      <c r="F193" t="s">
        <v>0</v>
      </c>
      <c r="G193" t="s">
        <v>721</v>
      </c>
      <c r="H193" t="s">
        <v>722</v>
      </c>
      <c r="I193" s="2">
        <v>30</v>
      </c>
      <c r="J193" s="2">
        <v>0</v>
      </c>
      <c r="K193" s="2">
        <f t="shared" si="4"/>
        <v>30</v>
      </c>
      <c r="L193" s="2">
        <f t="shared" ca="1" si="5"/>
        <v>2</v>
      </c>
      <c r="M193" s="2" t="s">
        <v>1081</v>
      </c>
      <c r="N193" t="s">
        <v>160</v>
      </c>
      <c r="O193" s="3">
        <v>46292</v>
      </c>
      <c r="P193" s="3">
        <v>46292</v>
      </c>
      <c r="Q193" s="3">
        <v>46292</v>
      </c>
      <c r="R193" s="3">
        <v>46292</v>
      </c>
      <c r="S193" t="s">
        <v>916</v>
      </c>
      <c r="T193" t="s">
        <v>917</v>
      </c>
      <c r="U193" s="3"/>
      <c r="V193" s="4">
        <v>0</v>
      </c>
      <c r="W193" s="3">
        <v>46292</v>
      </c>
      <c r="X193" t="s">
        <v>2</v>
      </c>
      <c r="Y193" t="s">
        <v>0</v>
      </c>
      <c r="Z193" s="3"/>
      <c r="AA193" s="4">
        <v>0</v>
      </c>
      <c r="AB193" s="3"/>
      <c r="AC193" s="3">
        <v>46292</v>
      </c>
      <c r="AD193" t="s">
        <v>0</v>
      </c>
    </row>
    <row r="194" spans="1:30" hidden="1" x14ac:dyDescent="0.2">
      <c r="A194" t="s">
        <v>1</v>
      </c>
      <c r="B194" t="s">
        <v>3</v>
      </c>
      <c r="C194" t="s">
        <v>4</v>
      </c>
      <c r="D194" t="s">
        <v>918</v>
      </c>
      <c r="E194" t="s">
        <v>919</v>
      </c>
      <c r="F194" t="s">
        <v>0</v>
      </c>
      <c r="G194" t="s">
        <v>920</v>
      </c>
      <c r="H194" t="s">
        <v>921</v>
      </c>
      <c r="I194" s="2">
        <v>30</v>
      </c>
      <c r="J194" s="2">
        <v>0</v>
      </c>
      <c r="K194" s="2">
        <f t="shared" si="4"/>
        <v>30</v>
      </c>
      <c r="L194" s="2">
        <f t="shared" ca="1" si="5"/>
        <v>2</v>
      </c>
      <c r="M194" s="2" t="s">
        <v>1081</v>
      </c>
      <c r="N194" t="s">
        <v>160</v>
      </c>
      <c r="O194" s="3">
        <v>46292</v>
      </c>
      <c r="P194" s="3">
        <v>46292</v>
      </c>
      <c r="Q194" s="3">
        <v>46292</v>
      </c>
      <c r="R194" s="3">
        <v>46292</v>
      </c>
      <c r="S194" t="s">
        <v>922</v>
      </c>
      <c r="T194" t="s">
        <v>923</v>
      </c>
      <c r="U194" s="3"/>
      <c r="V194" s="4">
        <v>0</v>
      </c>
      <c r="W194" s="3">
        <v>46292</v>
      </c>
      <c r="X194" t="s">
        <v>2</v>
      </c>
      <c r="Y194" t="s">
        <v>0</v>
      </c>
      <c r="Z194" s="3"/>
      <c r="AA194" s="4">
        <v>0</v>
      </c>
      <c r="AB194" s="3"/>
      <c r="AC194" s="3">
        <v>46292</v>
      </c>
      <c r="AD194" t="s">
        <v>0</v>
      </c>
    </row>
    <row r="195" spans="1:30" hidden="1" x14ac:dyDescent="0.2">
      <c r="A195" t="s">
        <v>1</v>
      </c>
      <c r="B195" t="s">
        <v>3</v>
      </c>
      <c r="C195" t="s">
        <v>4</v>
      </c>
      <c r="D195" t="s">
        <v>924</v>
      </c>
      <c r="E195" t="s">
        <v>925</v>
      </c>
      <c r="F195" t="s">
        <v>0</v>
      </c>
      <c r="G195" t="s">
        <v>920</v>
      </c>
      <c r="H195" t="s">
        <v>921</v>
      </c>
      <c r="I195" s="2">
        <v>30</v>
      </c>
      <c r="J195" s="2">
        <v>0</v>
      </c>
      <c r="K195" s="2">
        <f t="shared" ref="K195:K221" si="6">I195-J195</f>
        <v>30</v>
      </c>
      <c r="L195" s="2">
        <f t="shared" ref="L195:L221" ca="1" si="7">TODAY()-P195</f>
        <v>2</v>
      </c>
      <c r="M195" s="2" t="s">
        <v>1081</v>
      </c>
      <c r="N195" t="s">
        <v>160</v>
      </c>
      <c r="O195" s="3">
        <v>46292</v>
      </c>
      <c r="P195" s="3">
        <v>46292</v>
      </c>
      <c r="Q195" s="3">
        <v>46292</v>
      </c>
      <c r="R195" s="3">
        <v>46292</v>
      </c>
      <c r="S195" t="s">
        <v>926</v>
      </c>
      <c r="T195" t="s">
        <v>927</v>
      </c>
      <c r="U195" s="3"/>
      <c r="V195" s="4">
        <v>0</v>
      </c>
      <c r="W195" s="3">
        <v>46292</v>
      </c>
      <c r="X195" t="s">
        <v>2</v>
      </c>
      <c r="Y195" t="s">
        <v>0</v>
      </c>
      <c r="Z195" s="3"/>
      <c r="AA195" s="4">
        <v>0</v>
      </c>
      <c r="AB195" s="3"/>
      <c r="AC195" s="3">
        <v>46292</v>
      </c>
      <c r="AD195" t="s">
        <v>0</v>
      </c>
    </row>
    <row r="196" spans="1:30" hidden="1" x14ac:dyDescent="0.2">
      <c r="A196" t="s">
        <v>1</v>
      </c>
      <c r="B196" t="s">
        <v>3</v>
      </c>
      <c r="C196" t="s">
        <v>4</v>
      </c>
      <c r="D196" t="s">
        <v>928</v>
      </c>
      <c r="E196" t="s">
        <v>929</v>
      </c>
      <c r="F196" t="s">
        <v>0</v>
      </c>
      <c r="G196" t="s">
        <v>930</v>
      </c>
      <c r="H196" t="s">
        <v>931</v>
      </c>
      <c r="I196" s="2">
        <v>30</v>
      </c>
      <c r="J196" s="2">
        <v>0</v>
      </c>
      <c r="K196" s="2">
        <f t="shared" si="6"/>
        <v>30</v>
      </c>
      <c r="L196" s="2">
        <f t="shared" ca="1" si="7"/>
        <v>2</v>
      </c>
      <c r="M196" s="2" t="s">
        <v>1081</v>
      </c>
      <c r="N196" t="s">
        <v>160</v>
      </c>
      <c r="O196" s="3">
        <v>46292</v>
      </c>
      <c r="P196" s="3">
        <v>46292</v>
      </c>
      <c r="Q196" s="3">
        <v>46292</v>
      </c>
      <c r="R196" s="3">
        <v>46292</v>
      </c>
      <c r="S196" t="s">
        <v>932</v>
      </c>
      <c r="T196" t="s">
        <v>933</v>
      </c>
      <c r="U196" s="3"/>
      <c r="V196" s="4">
        <v>0</v>
      </c>
      <c r="W196" s="3">
        <v>46292</v>
      </c>
      <c r="X196" t="s">
        <v>2</v>
      </c>
      <c r="Y196" t="s">
        <v>0</v>
      </c>
      <c r="Z196" s="3"/>
      <c r="AA196" s="4">
        <v>0</v>
      </c>
      <c r="AB196" s="3"/>
      <c r="AC196" s="3">
        <v>46292</v>
      </c>
      <c r="AD196" t="s">
        <v>0</v>
      </c>
    </row>
    <row r="197" spans="1:30" hidden="1" x14ac:dyDescent="0.2">
      <c r="A197" t="s">
        <v>1</v>
      </c>
      <c r="B197" t="s">
        <v>3</v>
      </c>
      <c r="C197" t="s">
        <v>4</v>
      </c>
      <c r="D197" t="s">
        <v>934</v>
      </c>
      <c r="E197" t="s">
        <v>935</v>
      </c>
      <c r="F197" t="s">
        <v>0</v>
      </c>
      <c r="G197" t="s">
        <v>930</v>
      </c>
      <c r="H197" t="s">
        <v>931</v>
      </c>
      <c r="I197" s="2">
        <v>30</v>
      </c>
      <c r="J197" s="2">
        <v>0</v>
      </c>
      <c r="K197" s="2">
        <f t="shared" si="6"/>
        <v>30</v>
      </c>
      <c r="L197" s="2">
        <f t="shared" ca="1" si="7"/>
        <v>2</v>
      </c>
      <c r="M197" s="2" t="s">
        <v>1081</v>
      </c>
      <c r="N197" t="s">
        <v>160</v>
      </c>
      <c r="O197" s="3">
        <v>46292</v>
      </c>
      <c r="P197" s="3">
        <v>46292</v>
      </c>
      <c r="Q197" s="3">
        <v>46292</v>
      </c>
      <c r="R197" s="3">
        <v>46292</v>
      </c>
      <c r="S197" t="s">
        <v>936</v>
      </c>
      <c r="T197" t="s">
        <v>937</v>
      </c>
      <c r="U197" s="3"/>
      <c r="V197" s="4">
        <v>0</v>
      </c>
      <c r="W197" s="3">
        <v>46292</v>
      </c>
      <c r="X197" t="s">
        <v>2</v>
      </c>
      <c r="Y197" t="s">
        <v>0</v>
      </c>
      <c r="Z197" s="3"/>
      <c r="AA197" s="4">
        <v>0</v>
      </c>
      <c r="AB197" s="3"/>
      <c r="AC197" s="3">
        <v>46292</v>
      </c>
      <c r="AD197" t="s">
        <v>0</v>
      </c>
    </row>
    <row r="198" spans="1:30" hidden="1" x14ac:dyDescent="0.2">
      <c r="A198" t="s">
        <v>1</v>
      </c>
      <c r="B198" t="s">
        <v>10</v>
      </c>
      <c r="C198" t="s">
        <v>23</v>
      </c>
      <c r="D198" t="s">
        <v>938</v>
      </c>
      <c r="E198" t="s">
        <v>939</v>
      </c>
      <c r="F198" t="s">
        <v>0</v>
      </c>
      <c r="G198" t="s">
        <v>99</v>
      </c>
      <c r="H198" t="s">
        <v>100</v>
      </c>
      <c r="I198" s="2">
        <v>146</v>
      </c>
      <c r="J198" s="2">
        <v>0</v>
      </c>
      <c r="K198" s="2">
        <f t="shared" si="6"/>
        <v>146</v>
      </c>
      <c r="L198" s="2">
        <f t="shared" ca="1" si="7"/>
        <v>1</v>
      </c>
      <c r="M198" s="2" t="s">
        <v>1081</v>
      </c>
      <c r="N198" t="s">
        <v>160</v>
      </c>
      <c r="O198" s="3">
        <v>46293</v>
      </c>
      <c r="P198" s="3">
        <v>46293</v>
      </c>
      <c r="Q198" s="3">
        <v>46293</v>
      </c>
      <c r="R198" s="3">
        <v>46293</v>
      </c>
      <c r="S198" t="s">
        <v>940</v>
      </c>
      <c r="T198" t="s">
        <v>941</v>
      </c>
      <c r="U198" s="3"/>
      <c r="V198" s="4">
        <v>0</v>
      </c>
      <c r="W198" s="3">
        <v>46293</v>
      </c>
      <c r="X198" t="s">
        <v>2</v>
      </c>
      <c r="Y198" t="s">
        <v>34</v>
      </c>
      <c r="Z198" s="3"/>
      <c r="AA198" s="4">
        <v>0</v>
      </c>
      <c r="AB198" s="3"/>
      <c r="AC198" s="3">
        <v>46293</v>
      </c>
      <c r="AD198" t="s">
        <v>0</v>
      </c>
    </row>
    <row r="199" spans="1:30" hidden="1" x14ac:dyDescent="0.2">
      <c r="A199" t="s">
        <v>1</v>
      </c>
      <c r="B199" t="s">
        <v>10</v>
      </c>
      <c r="C199" t="s">
        <v>23</v>
      </c>
      <c r="D199" t="s">
        <v>942</v>
      </c>
      <c r="E199" t="s">
        <v>943</v>
      </c>
      <c r="F199" t="s">
        <v>0</v>
      </c>
      <c r="G199" t="s">
        <v>99</v>
      </c>
      <c r="H199" t="s">
        <v>100</v>
      </c>
      <c r="I199" s="2">
        <v>15</v>
      </c>
      <c r="J199" s="2">
        <v>0</v>
      </c>
      <c r="K199" s="2">
        <f t="shared" si="6"/>
        <v>15</v>
      </c>
      <c r="L199" s="2">
        <f t="shared" ca="1" si="7"/>
        <v>1</v>
      </c>
      <c r="M199" s="2" t="s">
        <v>1081</v>
      </c>
      <c r="N199" t="s">
        <v>944</v>
      </c>
      <c r="O199" s="3">
        <v>46293</v>
      </c>
      <c r="P199" s="3">
        <v>46293</v>
      </c>
      <c r="Q199" s="3">
        <v>46293</v>
      </c>
      <c r="R199" s="3">
        <v>46293</v>
      </c>
      <c r="S199" t="s">
        <v>945</v>
      </c>
      <c r="T199" t="s">
        <v>946</v>
      </c>
      <c r="U199" s="3"/>
      <c r="V199" s="4">
        <v>0</v>
      </c>
      <c r="W199" s="3">
        <v>46293</v>
      </c>
      <c r="X199" t="s">
        <v>2</v>
      </c>
      <c r="Y199" t="s">
        <v>34</v>
      </c>
      <c r="Z199" s="3"/>
      <c r="AA199" s="4">
        <v>0</v>
      </c>
      <c r="AB199" s="3"/>
      <c r="AC199" s="3">
        <v>46293</v>
      </c>
      <c r="AD199" t="s">
        <v>0</v>
      </c>
    </row>
    <row r="200" spans="1:30" hidden="1" x14ac:dyDescent="0.2">
      <c r="A200" t="s">
        <v>1</v>
      </c>
      <c r="B200" t="s">
        <v>10</v>
      </c>
      <c r="C200" t="s">
        <v>23</v>
      </c>
      <c r="D200" t="s">
        <v>947</v>
      </c>
      <c r="E200" t="s">
        <v>948</v>
      </c>
      <c r="F200" t="s">
        <v>0</v>
      </c>
      <c r="G200" t="s">
        <v>99</v>
      </c>
      <c r="H200" t="s">
        <v>100</v>
      </c>
      <c r="I200" s="2">
        <v>135</v>
      </c>
      <c r="J200" s="2">
        <v>0</v>
      </c>
      <c r="K200" s="2">
        <f t="shared" si="6"/>
        <v>135</v>
      </c>
      <c r="L200" s="2">
        <f t="shared" ca="1" si="7"/>
        <v>1</v>
      </c>
      <c r="M200" s="2" t="s">
        <v>1081</v>
      </c>
      <c r="N200" t="s">
        <v>944</v>
      </c>
      <c r="O200" s="3">
        <v>46293</v>
      </c>
      <c r="P200" s="3">
        <v>46293</v>
      </c>
      <c r="Q200" s="3">
        <v>46293</v>
      </c>
      <c r="R200" s="3">
        <v>46293</v>
      </c>
      <c r="S200" t="s">
        <v>949</v>
      </c>
      <c r="T200" t="s">
        <v>950</v>
      </c>
      <c r="U200" s="3"/>
      <c r="V200" s="4">
        <v>0</v>
      </c>
      <c r="W200" s="3">
        <v>46293</v>
      </c>
      <c r="X200" t="s">
        <v>2</v>
      </c>
      <c r="Y200" t="s">
        <v>34</v>
      </c>
      <c r="Z200" s="3"/>
      <c r="AA200" s="4">
        <v>0</v>
      </c>
      <c r="AB200" s="3"/>
      <c r="AC200" s="3">
        <v>46293</v>
      </c>
      <c r="AD200" t="s">
        <v>0</v>
      </c>
    </row>
    <row r="201" spans="1:30" hidden="1" x14ac:dyDescent="0.2">
      <c r="A201" t="s">
        <v>1</v>
      </c>
      <c r="B201" t="s">
        <v>10</v>
      </c>
      <c r="C201" t="s">
        <v>23</v>
      </c>
      <c r="D201" t="s">
        <v>951</v>
      </c>
      <c r="E201" t="s">
        <v>952</v>
      </c>
      <c r="F201" t="s">
        <v>0</v>
      </c>
      <c r="G201" t="s">
        <v>99</v>
      </c>
      <c r="H201" t="s">
        <v>100</v>
      </c>
      <c r="I201" s="2">
        <v>146</v>
      </c>
      <c r="J201" s="2">
        <v>0</v>
      </c>
      <c r="K201" s="2">
        <f t="shared" si="6"/>
        <v>146</v>
      </c>
      <c r="L201" s="2">
        <f t="shared" ca="1" si="7"/>
        <v>1</v>
      </c>
      <c r="M201" s="2" t="s">
        <v>1081</v>
      </c>
      <c r="N201" t="s">
        <v>160</v>
      </c>
      <c r="O201" s="3">
        <v>46293</v>
      </c>
      <c r="P201" s="3">
        <v>46293</v>
      </c>
      <c r="Q201" s="3">
        <v>46293</v>
      </c>
      <c r="R201" s="3">
        <v>46293</v>
      </c>
      <c r="S201" t="s">
        <v>953</v>
      </c>
      <c r="T201" t="s">
        <v>954</v>
      </c>
      <c r="U201" s="3"/>
      <c r="V201" s="4">
        <v>0</v>
      </c>
      <c r="W201" s="3">
        <v>46293</v>
      </c>
      <c r="X201" t="s">
        <v>2</v>
      </c>
      <c r="Y201" t="s">
        <v>34</v>
      </c>
      <c r="Z201" s="3"/>
      <c r="AA201" s="4">
        <v>0</v>
      </c>
      <c r="AB201" s="3"/>
      <c r="AC201" s="3">
        <v>46293</v>
      </c>
      <c r="AD201" t="s">
        <v>0</v>
      </c>
    </row>
    <row r="202" spans="1:30" hidden="1" x14ac:dyDescent="0.2">
      <c r="A202" t="s">
        <v>1</v>
      </c>
      <c r="B202" t="s">
        <v>10</v>
      </c>
      <c r="C202" t="s">
        <v>23</v>
      </c>
      <c r="D202" t="s">
        <v>955</v>
      </c>
      <c r="E202" t="s">
        <v>956</v>
      </c>
      <c r="F202" t="s">
        <v>0</v>
      </c>
      <c r="G202" t="s">
        <v>99</v>
      </c>
      <c r="H202" t="s">
        <v>100</v>
      </c>
      <c r="I202" s="2">
        <v>156</v>
      </c>
      <c r="J202" s="2">
        <v>0</v>
      </c>
      <c r="K202" s="2">
        <f t="shared" si="6"/>
        <v>156</v>
      </c>
      <c r="L202" s="2">
        <f t="shared" ca="1" si="7"/>
        <v>1</v>
      </c>
      <c r="M202" s="2" t="s">
        <v>1081</v>
      </c>
      <c r="N202" t="s">
        <v>160</v>
      </c>
      <c r="O202" s="3">
        <v>46293</v>
      </c>
      <c r="P202" s="3">
        <v>46293</v>
      </c>
      <c r="Q202" s="3">
        <v>46293</v>
      </c>
      <c r="R202" s="3">
        <v>46293</v>
      </c>
      <c r="S202" t="s">
        <v>957</v>
      </c>
      <c r="T202" t="s">
        <v>958</v>
      </c>
      <c r="U202" s="3"/>
      <c r="V202" s="4">
        <v>0</v>
      </c>
      <c r="W202" s="3">
        <v>46293</v>
      </c>
      <c r="X202" t="s">
        <v>2</v>
      </c>
      <c r="Y202" t="s">
        <v>34</v>
      </c>
      <c r="Z202" s="3"/>
      <c r="AA202" s="4">
        <v>0</v>
      </c>
      <c r="AB202" s="3"/>
      <c r="AC202" s="3">
        <v>46293</v>
      </c>
      <c r="AD202" t="s">
        <v>0</v>
      </c>
    </row>
    <row r="203" spans="1:30" hidden="1" x14ac:dyDescent="0.2">
      <c r="A203" t="s">
        <v>1</v>
      </c>
      <c r="B203" t="s">
        <v>10</v>
      </c>
      <c r="C203" t="s">
        <v>23</v>
      </c>
      <c r="D203" t="s">
        <v>959</v>
      </c>
      <c r="E203" t="s">
        <v>960</v>
      </c>
      <c r="F203" t="s">
        <v>0</v>
      </c>
      <c r="G203" t="s">
        <v>99</v>
      </c>
      <c r="H203" t="s">
        <v>100</v>
      </c>
      <c r="I203" s="2">
        <v>156</v>
      </c>
      <c r="J203" s="2">
        <v>0</v>
      </c>
      <c r="K203" s="2">
        <f t="shared" si="6"/>
        <v>156</v>
      </c>
      <c r="L203" s="2">
        <f t="shared" ca="1" si="7"/>
        <v>1</v>
      </c>
      <c r="M203" s="2" t="s">
        <v>1081</v>
      </c>
      <c r="N203" t="s">
        <v>160</v>
      </c>
      <c r="O203" s="3">
        <v>46293</v>
      </c>
      <c r="P203" s="3">
        <v>46293</v>
      </c>
      <c r="Q203" s="3">
        <v>46293</v>
      </c>
      <c r="R203" s="3">
        <v>46293</v>
      </c>
      <c r="S203" t="s">
        <v>961</v>
      </c>
      <c r="T203" t="s">
        <v>962</v>
      </c>
      <c r="U203" s="3"/>
      <c r="V203" s="4">
        <v>0</v>
      </c>
      <c r="W203" s="3">
        <v>46293</v>
      </c>
      <c r="X203" t="s">
        <v>2</v>
      </c>
      <c r="Y203" t="s">
        <v>34</v>
      </c>
      <c r="Z203" s="3"/>
      <c r="AA203" s="4">
        <v>0</v>
      </c>
      <c r="AB203" s="3"/>
      <c r="AC203" s="3">
        <v>46293</v>
      </c>
      <c r="AD203" t="s">
        <v>0</v>
      </c>
    </row>
    <row r="204" spans="1:30" hidden="1" x14ac:dyDescent="0.2">
      <c r="A204" t="s">
        <v>1</v>
      </c>
      <c r="B204" t="s">
        <v>10</v>
      </c>
      <c r="C204" t="s">
        <v>23</v>
      </c>
      <c r="D204" t="s">
        <v>963</v>
      </c>
      <c r="E204" t="s">
        <v>964</v>
      </c>
      <c r="F204" t="s">
        <v>0</v>
      </c>
      <c r="G204" t="s">
        <v>99</v>
      </c>
      <c r="H204" t="s">
        <v>100</v>
      </c>
      <c r="I204" s="2">
        <v>4</v>
      </c>
      <c r="J204" s="2">
        <v>0</v>
      </c>
      <c r="K204" s="2">
        <f t="shared" si="6"/>
        <v>4</v>
      </c>
      <c r="L204" s="2">
        <f t="shared" ca="1" si="7"/>
        <v>1</v>
      </c>
      <c r="M204" s="2" t="s">
        <v>1081</v>
      </c>
      <c r="N204" t="s">
        <v>944</v>
      </c>
      <c r="O204" s="3">
        <v>46293</v>
      </c>
      <c r="P204" s="3">
        <v>46293</v>
      </c>
      <c r="Q204" s="3">
        <v>46293</v>
      </c>
      <c r="R204" s="3">
        <v>46293</v>
      </c>
      <c r="S204" t="s">
        <v>965</v>
      </c>
      <c r="T204" t="s">
        <v>966</v>
      </c>
      <c r="U204" s="3"/>
      <c r="V204" s="4">
        <v>0</v>
      </c>
      <c r="W204" s="3">
        <v>46293</v>
      </c>
      <c r="X204" t="s">
        <v>2</v>
      </c>
      <c r="Y204" t="s">
        <v>34</v>
      </c>
      <c r="Z204" s="3"/>
      <c r="AA204" s="4">
        <v>0</v>
      </c>
      <c r="AB204" s="3"/>
      <c r="AC204" s="3">
        <v>46293</v>
      </c>
      <c r="AD204" t="s">
        <v>0</v>
      </c>
    </row>
    <row r="205" spans="1:30" hidden="1" x14ac:dyDescent="0.2">
      <c r="A205" t="s">
        <v>1</v>
      </c>
      <c r="B205" t="s">
        <v>10</v>
      </c>
      <c r="C205" t="s">
        <v>23</v>
      </c>
      <c r="D205" t="s">
        <v>967</v>
      </c>
      <c r="E205" t="s">
        <v>968</v>
      </c>
      <c r="F205" t="s">
        <v>0</v>
      </c>
      <c r="G205" t="s">
        <v>99</v>
      </c>
      <c r="H205" t="s">
        <v>100</v>
      </c>
      <c r="I205" s="2">
        <v>122</v>
      </c>
      <c r="J205" s="2">
        <v>0</v>
      </c>
      <c r="K205" s="2">
        <f t="shared" si="6"/>
        <v>122</v>
      </c>
      <c r="L205" s="2">
        <f t="shared" ca="1" si="7"/>
        <v>1</v>
      </c>
      <c r="M205" s="2" t="s">
        <v>1081</v>
      </c>
      <c r="N205" t="s">
        <v>944</v>
      </c>
      <c r="O205" s="3">
        <v>46293</v>
      </c>
      <c r="P205" s="3">
        <v>46293</v>
      </c>
      <c r="Q205" s="3">
        <v>46293</v>
      </c>
      <c r="R205" s="3">
        <v>46293</v>
      </c>
      <c r="S205" t="s">
        <v>969</v>
      </c>
      <c r="T205" t="s">
        <v>970</v>
      </c>
      <c r="U205" s="3"/>
      <c r="V205" s="4">
        <v>0</v>
      </c>
      <c r="W205" s="3">
        <v>46293</v>
      </c>
      <c r="X205" t="s">
        <v>2</v>
      </c>
      <c r="Y205" t="s">
        <v>34</v>
      </c>
      <c r="Z205" s="3"/>
      <c r="AA205" s="4">
        <v>0</v>
      </c>
      <c r="AB205" s="3"/>
      <c r="AC205" s="3">
        <v>46293</v>
      </c>
      <c r="AD205" t="s">
        <v>0</v>
      </c>
    </row>
    <row r="206" spans="1:30" hidden="1" x14ac:dyDescent="0.2">
      <c r="A206" t="s">
        <v>1</v>
      </c>
      <c r="B206" t="s">
        <v>10</v>
      </c>
      <c r="C206" t="s">
        <v>23</v>
      </c>
      <c r="D206" t="s">
        <v>971</v>
      </c>
      <c r="E206" t="s">
        <v>972</v>
      </c>
      <c r="F206" t="s">
        <v>0</v>
      </c>
      <c r="G206" t="s">
        <v>68</v>
      </c>
      <c r="H206" t="s">
        <v>43</v>
      </c>
      <c r="I206" s="2">
        <v>128</v>
      </c>
      <c r="J206" s="2">
        <v>0</v>
      </c>
      <c r="K206" s="2">
        <f t="shared" si="6"/>
        <v>128</v>
      </c>
      <c r="L206" s="2">
        <f t="shared" ca="1" si="7"/>
        <v>1</v>
      </c>
      <c r="M206" s="2" t="s">
        <v>1081</v>
      </c>
      <c r="N206" t="s">
        <v>62</v>
      </c>
      <c r="O206" s="3">
        <v>46293</v>
      </c>
      <c r="P206" s="3">
        <v>46293</v>
      </c>
      <c r="Q206" s="3">
        <v>46293</v>
      </c>
      <c r="R206" s="3">
        <v>46293</v>
      </c>
      <c r="S206" t="s">
        <v>973</v>
      </c>
      <c r="T206" t="s">
        <v>974</v>
      </c>
      <c r="U206" s="3"/>
      <c r="V206" s="4">
        <v>0</v>
      </c>
      <c r="W206" s="3">
        <v>46293</v>
      </c>
      <c r="X206" t="s">
        <v>2</v>
      </c>
      <c r="Y206" t="s">
        <v>11</v>
      </c>
      <c r="Z206" s="3"/>
      <c r="AA206" s="4">
        <v>0</v>
      </c>
      <c r="AB206" s="3"/>
      <c r="AC206" s="3">
        <v>46293</v>
      </c>
      <c r="AD206" t="s">
        <v>0</v>
      </c>
    </row>
    <row r="207" spans="1:30" hidden="1" x14ac:dyDescent="0.2">
      <c r="A207" t="s">
        <v>976</v>
      </c>
      <c r="B207" t="s">
        <v>977</v>
      </c>
      <c r="C207" t="s">
        <v>4</v>
      </c>
      <c r="D207" t="s">
        <v>0</v>
      </c>
      <c r="E207" t="s">
        <v>1004</v>
      </c>
      <c r="F207" t="s">
        <v>0</v>
      </c>
      <c r="G207" t="s">
        <v>982</v>
      </c>
      <c r="H207" t="s">
        <v>983</v>
      </c>
      <c r="I207" s="2">
        <v>2400</v>
      </c>
      <c r="J207" s="2">
        <v>2398</v>
      </c>
      <c r="K207" s="2">
        <f t="shared" si="6"/>
        <v>2</v>
      </c>
      <c r="L207" s="2">
        <f t="shared" ca="1" si="7"/>
        <v>10</v>
      </c>
      <c r="M207" s="2" t="s">
        <v>1083</v>
      </c>
      <c r="N207" t="s">
        <v>1005</v>
      </c>
      <c r="O207" s="3">
        <v>46284</v>
      </c>
      <c r="P207" s="3">
        <v>46284</v>
      </c>
      <c r="Q207" s="3">
        <v>46284</v>
      </c>
      <c r="R207" s="3">
        <v>46284</v>
      </c>
      <c r="S207" t="s">
        <v>1006</v>
      </c>
      <c r="T207" t="s">
        <v>1007</v>
      </c>
      <c r="U207" s="3">
        <v>46291</v>
      </c>
      <c r="V207" s="4">
        <v>0.91379629629629999</v>
      </c>
      <c r="W207" s="3">
        <v>46291</v>
      </c>
      <c r="X207" t="s">
        <v>27</v>
      </c>
      <c r="Y207" t="s">
        <v>0</v>
      </c>
      <c r="Z207" s="3"/>
      <c r="AA207" s="4">
        <v>0</v>
      </c>
      <c r="AB207" s="3">
        <v>46287</v>
      </c>
      <c r="AC207" s="3">
        <v>46284</v>
      </c>
      <c r="AD207" t="s">
        <v>0</v>
      </c>
    </row>
    <row r="208" spans="1:30" hidden="1" x14ac:dyDescent="0.2">
      <c r="A208" t="s">
        <v>976</v>
      </c>
      <c r="B208" t="s">
        <v>975</v>
      </c>
      <c r="C208" t="s">
        <v>4</v>
      </c>
      <c r="D208" t="s">
        <v>0</v>
      </c>
      <c r="E208" t="s">
        <v>1008</v>
      </c>
      <c r="F208" t="s">
        <v>0</v>
      </c>
      <c r="G208" t="s">
        <v>980</v>
      </c>
      <c r="H208" t="s">
        <v>981</v>
      </c>
      <c r="I208" s="2">
        <v>2400</v>
      </c>
      <c r="J208" s="2">
        <v>2398</v>
      </c>
      <c r="K208" s="2">
        <f t="shared" si="6"/>
        <v>2</v>
      </c>
      <c r="L208" s="2">
        <f t="shared" ca="1" si="7"/>
        <v>10</v>
      </c>
      <c r="M208" s="2" t="s">
        <v>1083</v>
      </c>
      <c r="N208" t="s">
        <v>433</v>
      </c>
      <c r="O208" s="3">
        <v>46284</v>
      </c>
      <c r="P208" s="3">
        <v>46284</v>
      </c>
      <c r="Q208" s="3">
        <v>46284</v>
      </c>
      <c r="R208" s="3">
        <v>46284</v>
      </c>
      <c r="S208" t="s">
        <v>1009</v>
      </c>
      <c r="T208" t="s">
        <v>1010</v>
      </c>
      <c r="U208" s="3">
        <v>46291</v>
      </c>
      <c r="V208" s="4">
        <v>0.57616898148147999</v>
      </c>
      <c r="W208" s="3">
        <v>46284</v>
      </c>
      <c r="X208" t="s">
        <v>27</v>
      </c>
      <c r="Y208" t="s">
        <v>0</v>
      </c>
      <c r="Z208" s="3"/>
      <c r="AA208" s="4">
        <v>0</v>
      </c>
      <c r="AB208" s="3">
        <v>46291</v>
      </c>
      <c r="AC208" s="3">
        <v>46284</v>
      </c>
      <c r="AD208" t="s">
        <v>0</v>
      </c>
    </row>
    <row r="209" spans="1:30" hidden="1" x14ac:dyDescent="0.2">
      <c r="A209" t="s">
        <v>976</v>
      </c>
      <c r="B209" t="s">
        <v>977</v>
      </c>
      <c r="C209" t="s">
        <v>4</v>
      </c>
      <c r="D209" t="s">
        <v>0</v>
      </c>
      <c r="E209" t="s">
        <v>1011</v>
      </c>
      <c r="F209" t="s">
        <v>0</v>
      </c>
      <c r="G209" t="s">
        <v>994</v>
      </c>
      <c r="H209" t="s">
        <v>995</v>
      </c>
      <c r="I209" s="2">
        <v>2400</v>
      </c>
      <c r="J209" s="2">
        <v>2398</v>
      </c>
      <c r="K209" s="2">
        <f t="shared" si="6"/>
        <v>2</v>
      </c>
      <c r="L209" s="2">
        <f t="shared" ca="1" si="7"/>
        <v>10</v>
      </c>
      <c r="M209" s="2" t="s">
        <v>1083</v>
      </c>
      <c r="N209" t="s">
        <v>1005</v>
      </c>
      <c r="O209" s="3">
        <v>46284</v>
      </c>
      <c r="P209" s="3">
        <v>46284</v>
      </c>
      <c r="Q209" s="3">
        <v>46284</v>
      </c>
      <c r="R209" s="3">
        <v>46284</v>
      </c>
      <c r="S209" t="s">
        <v>1012</v>
      </c>
      <c r="T209" t="s">
        <v>1013</v>
      </c>
      <c r="U209" s="3">
        <v>46289</v>
      </c>
      <c r="V209" s="4">
        <v>0.54303240740740999</v>
      </c>
      <c r="W209" s="3">
        <v>46284</v>
      </c>
      <c r="X209" t="s">
        <v>27</v>
      </c>
      <c r="Y209" t="s">
        <v>0</v>
      </c>
      <c r="Z209" s="3"/>
      <c r="AA209" s="4">
        <v>0</v>
      </c>
      <c r="AB209" s="3">
        <v>46287</v>
      </c>
      <c r="AC209" s="3">
        <v>46284</v>
      </c>
      <c r="AD209" t="s">
        <v>0</v>
      </c>
    </row>
    <row r="210" spans="1:30" hidden="1" x14ac:dyDescent="0.2">
      <c r="A210" t="s">
        <v>976</v>
      </c>
      <c r="B210" t="s">
        <v>975</v>
      </c>
      <c r="C210" t="s">
        <v>4</v>
      </c>
      <c r="D210" t="s">
        <v>0</v>
      </c>
      <c r="E210" t="s">
        <v>1014</v>
      </c>
      <c r="F210" t="s">
        <v>0</v>
      </c>
      <c r="G210" t="s">
        <v>984</v>
      </c>
      <c r="H210" t="s">
        <v>985</v>
      </c>
      <c r="I210" s="2">
        <v>750</v>
      </c>
      <c r="J210" s="2">
        <v>736</v>
      </c>
      <c r="K210" s="2">
        <f t="shared" si="6"/>
        <v>14</v>
      </c>
      <c r="L210" s="2">
        <f t="shared" ca="1" si="7"/>
        <v>6</v>
      </c>
      <c r="M210" s="2" t="s">
        <v>1082</v>
      </c>
      <c r="N210" t="s">
        <v>1015</v>
      </c>
      <c r="O210" s="3">
        <v>46288</v>
      </c>
      <c r="P210" s="3">
        <v>46288</v>
      </c>
      <c r="Q210" s="3">
        <v>46288</v>
      </c>
      <c r="R210" s="3">
        <v>46288</v>
      </c>
      <c r="S210" t="s">
        <v>1016</v>
      </c>
      <c r="T210" t="s">
        <v>1017</v>
      </c>
      <c r="U210" s="3">
        <v>46291</v>
      </c>
      <c r="V210" s="4">
        <v>0.85083333333333</v>
      </c>
      <c r="W210" s="3">
        <v>46291</v>
      </c>
      <c r="X210" t="s">
        <v>2</v>
      </c>
      <c r="Y210" t="s">
        <v>0</v>
      </c>
      <c r="Z210" s="3"/>
      <c r="AA210" s="4">
        <v>0</v>
      </c>
      <c r="AB210" s="3">
        <v>46291</v>
      </c>
      <c r="AC210" s="3">
        <v>46288</v>
      </c>
      <c r="AD210" t="s">
        <v>0</v>
      </c>
    </row>
    <row r="211" spans="1:30" hidden="1" x14ac:dyDescent="0.2">
      <c r="A211" t="s">
        <v>976</v>
      </c>
      <c r="B211" t="s">
        <v>977</v>
      </c>
      <c r="C211" t="s">
        <v>4</v>
      </c>
      <c r="D211" t="s">
        <v>0</v>
      </c>
      <c r="E211" t="s">
        <v>1018</v>
      </c>
      <c r="F211" t="s">
        <v>0</v>
      </c>
      <c r="G211" t="s">
        <v>1002</v>
      </c>
      <c r="H211" t="s">
        <v>1003</v>
      </c>
      <c r="I211" s="2">
        <v>2000</v>
      </c>
      <c r="J211" s="2">
        <v>1910</v>
      </c>
      <c r="K211" s="2">
        <f t="shared" si="6"/>
        <v>90</v>
      </c>
      <c r="L211" s="2">
        <f t="shared" ca="1" si="7"/>
        <v>6</v>
      </c>
      <c r="M211" s="2" t="s">
        <v>1082</v>
      </c>
      <c r="N211" t="s">
        <v>1005</v>
      </c>
      <c r="O211" s="3">
        <v>46288</v>
      </c>
      <c r="P211" s="3">
        <v>46288</v>
      </c>
      <c r="Q211" s="3">
        <v>46288</v>
      </c>
      <c r="R211" s="3">
        <v>46288</v>
      </c>
      <c r="S211" t="s">
        <v>1019</v>
      </c>
      <c r="T211" t="s">
        <v>1020</v>
      </c>
      <c r="U211" s="3">
        <v>46293</v>
      </c>
      <c r="V211" s="4">
        <v>0.73921296296296002</v>
      </c>
      <c r="W211" s="3">
        <v>46291</v>
      </c>
      <c r="X211" t="s">
        <v>27</v>
      </c>
      <c r="Y211" t="s">
        <v>0</v>
      </c>
      <c r="Z211" s="3"/>
      <c r="AA211" s="4">
        <v>0</v>
      </c>
      <c r="AB211" s="3">
        <v>46290</v>
      </c>
      <c r="AC211" s="3">
        <v>46288</v>
      </c>
      <c r="AD211" t="s">
        <v>0</v>
      </c>
    </row>
    <row r="212" spans="1:30" hidden="1" x14ac:dyDescent="0.2">
      <c r="A212" t="s">
        <v>976</v>
      </c>
      <c r="B212" t="s">
        <v>977</v>
      </c>
      <c r="C212" t="s">
        <v>4</v>
      </c>
      <c r="D212" t="s">
        <v>0</v>
      </c>
      <c r="E212" t="s">
        <v>1021</v>
      </c>
      <c r="F212" t="s">
        <v>0</v>
      </c>
      <c r="G212" t="s">
        <v>1002</v>
      </c>
      <c r="H212" t="s">
        <v>1003</v>
      </c>
      <c r="I212" s="2">
        <v>760</v>
      </c>
      <c r="J212" s="2">
        <v>754</v>
      </c>
      <c r="K212" s="2">
        <f t="shared" si="6"/>
        <v>6</v>
      </c>
      <c r="L212" s="2">
        <f t="shared" ca="1" si="7"/>
        <v>4</v>
      </c>
      <c r="M212" s="2" t="s">
        <v>1082</v>
      </c>
      <c r="N212" t="s">
        <v>1015</v>
      </c>
      <c r="O212" s="3">
        <v>46290</v>
      </c>
      <c r="P212" s="3">
        <v>46290</v>
      </c>
      <c r="Q212" s="3">
        <v>46290</v>
      </c>
      <c r="R212" s="3">
        <v>46290</v>
      </c>
      <c r="S212" t="s">
        <v>1022</v>
      </c>
      <c r="T212" t="s">
        <v>1023</v>
      </c>
      <c r="U212" s="3">
        <v>46293</v>
      </c>
      <c r="V212" s="4">
        <v>0.58534722222222002</v>
      </c>
      <c r="W212" s="3">
        <v>46291</v>
      </c>
      <c r="X212" t="s">
        <v>27</v>
      </c>
      <c r="Y212" t="s">
        <v>0</v>
      </c>
      <c r="Z212" s="3"/>
      <c r="AA212" s="4">
        <v>0</v>
      </c>
      <c r="AB212" s="3">
        <v>46291</v>
      </c>
      <c r="AC212" s="3">
        <v>46290</v>
      </c>
      <c r="AD212" t="s">
        <v>0</v>
      </c>
    </row>
    <row r="213" spans="1:30" hidden="1" x14ac:dyDescent="0.2">
      <c r="A213" t="s">
        <v>976</v>
      </c>
      <c r="B213" t="s">
        <v>977</v>
      </c>
      <c r="C213" t="s">
        <v>4</v>
      </c>
      <c r="D213" t="s">
        <v>0</v>
      </c>
      <c r="E213" t="s">
        <v>1024</v>
      </c>
      <c r="F213" t="s">
        <v>0</v>
      </c>
      <c r="G213" t="s">
        <v>988</v>
      </c>
      <c r="H213" t="s">
        <v>989</v>
      </c>
      <c r="I213" s="2">
        <v>520</v>
      </c>
      <c r="J213" s="2">
        <v>0</v>
      </c>
      <c r="K213" s="2">
        <f t="shared" si="6"/>
        <v>520</v>
      </c>
      <c r="L213" s="2">
        <f t="shared" ca="1" si="7"/>
        <v>3</v>
      </c>
      <c r="M213" s="2" t="s">
        <v>1081</v>
      </c>
      <c r="N213" t="s">
        <v>160</v>
      </c>
      <c r="O213" s="3">
        <v>46291</v>
      </c>
      <c r="P213" s="3">
        <v>46291</v>
      </c>
      <c r="Q213" s="3">
        <v>46291</v>
      </c>
      <c r="R213" s="3">
        <v>46291</v>
      </c>
      <c r="S213" t="s">
        <v>1025</v>
      </c>
      <c r="T213" t="s">
        <v>1026</v>
      </c>
      <c r="U213" s="3"/>
      <c r="V213" s="4">
        <v>0</v>
      </c>
      <c r="W213" s="3">
        <v>46291</v>
      </c>
      <c r="X213" t="s">
        <v>27</v>
      </c>
      <c r="Y213" t="s">
        <v>0</v>
      </c>
      <c r="Z213" s="3"/>
      <c r="AA213" s="4">
        <v>0</v>
      </c>
      <c r="AB213" s="3"/>
      <c r="AC213" s="3">
        <v>46291</v>
      </c>
      <c r="AD213" t="s">
        <v>0</v>
      </c>
    </row>
    <row r="214" spans="1:30" hidden="1" x14ac:dyDescent="0.2">
      <c r="A214" t="s">
        <v>976</v>
      </c>
      <c r="B214" t="s">
        <v>975</v>
      </c>
      <c r="C214" t="s">
        <v>4</v>
      </c>
      <c r="D214" t="s">
        <v>0</v>
      </c>
      <c r="E214" t="s">
        <v>1027</v>
      </c>
      <c r="F214" t="s">
        <v>0</v>
      </c>
      <c r="G214" t="s">
        <v>990</v>
      </c>
      <c r="H214" t="s">
        <v>991</v>
      </c>
      <c r="I214" s="2">
        <v>520</v>
      </c>
      <c r="J214" s="2">
        <v>0</v>
      </c>
      <c r="K214" s="2">
        <f t="shared" si="6"/>
        <v>520</v>
      </c>
      <c r="L214" s="2">
        <f t="shared" ca="1" si="7"/>
        <v>3</v>
      </c>
      <c r="M214" s="2" t="s">
        <v>1081</v>
      </c>
      <c r="N214" t="s">
        <v>160</v>
      </c>
      <c r="O214" s="3">
        <v>46291</v>
      </c>
      <c r="P214" s="3">
        <v>46291</v>
      </c>
      <c r="Q214" s="3">
        <v>46291</v>
      </c>
      <c r="R214" s="3">
        <v>46291</v>
      </c>
      <c r="S214" t="s">
        <v>1028</v>
      </c>
      <c r="T214" t="s">
        <v>1029</v>
      </c>
      <c r="U214" s="3"/>
      <c r="V214" s="4">
        <v>0</v>
      </c>
      <c r="W214" s="3">
        <v>46291</v>
      </c>
      <c r="X214" t="s">
        <v>27</v>
      </c>
      <c r="Y214" t="s">
        <v>0</v>
      </c>
      <c r="Z214" s="3"/>
      <c r="AA214" s="4">
        <v>0</v>
      </c>
      <c r="AB214" s="3"/>
      <c r="AC214" s="3">
        <v>46291</v>
      </c>
      <c r="AD214" t="s">
        <v>0</v>
      </c>
    </row>
    <row r="215" spans="1:30" hidden="1" x14ac:dyDescent="0.2">
      <c r="A215" t="s">
        <v>976</v>
      </c>
      <c r="B215" t="s">
        <v>975</v>
      </c>
      <c r="C215" t="s">
        <v>4</v>
      </c>
      <c r="D215" t="s">
        <v>0</v>
      </c>
      <c r="E215" t="s">
        <v>1030</v>
      </c>
      <c r="F215" t="s">
        <v>0</v>
      </c>
      <c r="G215" t="s">
        <v>992</v>
      </c>
      <c r="H215" t="s">
        <v>993</v>
      </c>
      <c r="I215" s="2">
        <v>520</v>
      </c>
      <c r="J215" s="2">
        <v>0</v>
      </c>
      <c r="K215" s="2">
        <f t="shared" si="6"/>
        <v>520</v>
      </c>
      <c r="L215" s="2">
        <f t="shared" ca="1" si="7"/>
        <v>3</v>
      </c>
      <c r="M215" s="2" t="s">
        <v>1081</v>
      </c>
      <c r="N215" t="s">
        <v>944</v>
      </c>
      <c r="O215" s="3">
        <v>46291</v>
      </c>
      <c r="P215" s="3">
        <v>46291</v>
      </c>
      <c r="Q215" s="3">
        <v>46291</v>
      </c>
      <c r="R215" s="3">
        <v>46291</v>
      </c>
      <c r="S215" t="s">
        <v>1031</v>
      </c>
      <c r="T215" t="s">
        <v>1032</v>
      </c>
      <c r="U215" s="3"/>
      <c r="V215" s="4">
        <v>0</v>
      </c>
      <c r="W215" s="3">
        <v>46291</v>
      </c>
      <c r="X215" t="s">
        <v>27</v>
      </c>
      <c r="Y215" t="s">
        <v>0</v>
      </c>
      <c r="Z215" s="3"/>
      <c r="AA215" s="4">
        <v>0</v>
      </c>
      <c r="AB215" s="3"/>
      <c r="AC215" s="3">
        <v>46291</v>
      </c>
      <c r="AD215" t="s">
        <v>0</v>
      </c>
    </row>
    <row r="216" spans="1:30" x14ac:dyDescent="0.2">
      <c r="A216" t="s">
        <v>976</v>
      </c>
      <c r="B216" t="s">
        <v>978</v>
      </c>
      <c r="C216" t="s">
        <v>979</v>
      </c>
      <c r="D216" t="s">
        <v>0</v>
      </c>
      <c r="E216" t="s">
        <v>1033</v>
      </c>
      <c r="F216" t="s">
        <v>0</v>
      </c>
      <c r="G216" t="s">
        <v>996</v>
      </c>
      <c r="H216" t="s">
        <v>997</v>
      </c>
      <c r="I216" s="2">
        <v>380</v>
      </c>
      <c r="J216" s="2">
        <v>0</v>
      </c>
      <c r="K216" s="2">
        <f t="shared" si="6"/>
        <v>380</v>
      </c>
      <c r="L216" s="2">
        <f t="shared" ca="1" si="7"/>
        <v>1</v>
      </c>
      <c r="M216" s="2" t="s">
        <v>1081</v>
      </c>
      <c r="N216" t="s">
        <v>160</v>
      </c>
      <c r="O216" s="3">
        <v>46292</v>
      </c>
      <c r="P216" s="3">
        <v>46293</v>
      </c>
      <c r="Q216" s="3">
        <v>46293</v>
      </c>
      <c r="R216" s="3">
        <v>46293</v>
      </c>
      <c r="S216" t="s">
        <v>1034</v>
      </c>
      <c r="T216" t="s">
        <v>1035</v>
      </c>
      <c r="U216" s="3"/>
      <c r="V216" s="4">
        <v>0</v>
      </c>
      <c r="W216" s="3">
        <v>46294</v>
      </c>
      <c r="X216" t="s">
        <v>27</v>
      </c>
      <c r="Y216" t="s">
        <v>0</v>
      </c>
      <c r="Z216" s="3"/>
      <c r="AA216" s="4">
        <v>0</v>
      </c>
      <c r="AB216" s="3"/>
      <c r="AC216" s="3">
        <v>46293</v>
      </c>
      <c r="AD216" t="s">
        <v>0</v>
      </c>
    </row>
    <row r="217" spans="1:30" x14ac:dyDescent="0.2">
      <c r="A217" t="s">
        <v>976</v>
      </c>
      <c r="B217" t="s">
        <v>978</v>
      </c>
      <c r="C217" t="s">
        <v>979</v>
      </c>
      <c r="D217" t="s">
        <v>0</v>
      </c>
      <c r="E217" t="s">
        <v>1036</v>
      </c>
      <c r="F217" t="s">
        <v>0</v>
      </c>
      <c r="G217" t="s">
        <v>986</v>
      </c>
      <c r="H217" t="s">
        <v>987</v>
      </c>
      <c r="I217" s="2">
        <v>1080</v>
      </c>
      <c r="J217" s="2">
        <v>0</v>
      </c>
      <c r="K217" s="2">
        <f t="shared" si="6"/>
        <v>1080</v>
      </c>
      <c r="L217" s="2">
        <f t="shared" ca="1" si="7"/>
        <v>0</v>
      </c>
      <c r="M217" s="2" t="s">
        <v>1081</v>
      </c>
      <c r="N217" t="s">
        <v>160</v>
      </c>
      <c r="O217" s="3">
        <v>46292</v>
      </c>
      <c r="P217" s="3">
        <v>46294</v>
      </c>
      <c r="Q217" s="3">
        <v>46294</v>
      </c>
      <c r="R217" s="3">
        <v>46294</v>
      </c>
      <c r="S217" t="s">
        <v>1037</v>
      </c>
      <c r="T217" t="s">
        <v>1038</v>
      </c>
      <c r="U217" s="3"/>
      <c r="V217" s="4">
        <v>0</v>
      </c>
      <c r="W217" s="3">
        <v>46294</v>
      </c>
      <c r="X217" t="s">
        <v>27</v>
      </c>
      <c r="Y217" t="s">
        <v>0</v>
      </c>
      <c r="Z217" s="3"/>
      <c r="AA217" s="4">
        <v>0</v>
      </c>
      <c r="AB217" s="3"/>
      <c r="AC217" s="3">
        <v>46294</v>
      </c>
      <c r="AD217" t="s">
        <v>0</v>
      </c>
    </row>
    <row r="218" spans="1:30" x14ac:dyDescent="0.2">
      <c r="A218" t="s">
        <v>976</v>
      </c>
      <c r="B218" t="s">
        <v>978</v>
      </c>
      <c r="C218" t="s">
        <v>979</v>
      </c>
      <c r="D218" t="s">
        <v>0</v>
      </c>
      <c r="E218" t="s">
        <v>1039</v>
      </c>
      <c r="F218" t="s">
        <v>0</v>
      </c>
      <c r="G218" t="s">
        <v>996</v>
      </c>
      <c r="H218" t="s">
        <v>997</v>
      </c>
      <c r="I218" s="2">
        <v>216</v>
      </c>
      <c r="J218" s="2">
        <v>0</v>
      </c>
      <c r="K218" s="2">
        <f t="shared" si="6"/>
        <v>216</v>
      </c>
      <c r="L218" s="2">
        <f t="shared" ca="1" si="7"/>
        <v>0</v>
      </c>
      <c r="M218" s="2" t="s">
        <v>1081</v>
      </c>
      <c r="N218" t="s">
        <v>160</v>
      </c>
      <c r="O218" s="3">
        <v>46293</v>
      </c>
      <c r="P218" s="3">
        <v>46294</v>
      </c>
      <c r="Q218" s="3">
        <v>46294</v>
      </c>
      <c r="R218" s="3">
        <v>46294</v>
      </c>
      <c r="S218" t="s">
        <v>1040</v>
      </c>
      <c r="T218" t="s">
        <v>1041</v>
      </c>
      <c r="U218" s="3"/>
      <c r="V218" s="4">
        <v>0</v>
      </c>
      <c r="W218" s="3">
        <v>46294</v>
      </c>
      <c r="X218" t="s">
        <v>27</v>
      </c>
      <c r="Y218" t="s">
        <v>0</v>
      </c>
      <c r="Z218" s="3"/>
      <c r="AA218" s="4">
        <v>0</v>
      </c>
      <c r="AB218" s="3"/>
      <c r="AC218" s="3">
        <v>46294</v>
      </c>
      <c r="AD218" t="s">
        <v>0</v>
      </c>
    </row>
    <row r="219" spans="1:30" hidden="1" x14ac:dyDescent="0.2">
      <c r="A219" t="s">
        <v>976</v>
      </c>
      <c r="B219" t="s">
        <v>977</v>
      </c>
      <c r="C219" t="s">
        <v>4</v>
      </c>
      <c r="D219" t="s">
        <v>0</v>
      </c>
      <c r="E219" t="s">
        <v>1042</v>
      </c>
      <c r="F219" t="s">
        <v>0</v>
      </c>
      <c r="G219" t="s">
        <v>998</v>
      </c>
      <c r="H219" t="s">
        <v>999</v>
      </c>
      <c r="I219" s="2">
        <v>5000</v>
      </c>
      <c r="J219" s="2">
        <v>0</v>
      </c>
      <c r="K219" s="2">
        <f t="shared" si="6"/>
        <v>5000</v>
      </c>
      <c r="L219" s="2">
        <f t="shared" ca="1" si="7"/>
        <v>1</v>
      </c>
      <c r="M219" s="2" t="s">
        <v>1081</v>
      </c>
      <c r="N219" t="s">
        <v>160</v>
      </c>
      <c r="O219" s="3">
        <v>46293</v>
      </c>
      <c r="P219" s="3">
        <v>46293</v>
      </c>
      <c r="Q219" s="3">
        <v>46293</v>
      </c>
      <c r="R219" s="3">
        <v>46293</v>
      </c>
      <c r="S219" t="s">
        <v>1043</v>
      </c>
      <c r="T219" t="s">
        <v>1044</v>
      </c>
      <c r="U219" s="3"/>
      <c r="V219" s="4">
        <v>0</v>
      </c>
      <c r="W219" s="3">
        <v>46293</v>
      </c>
      <c r="X219" t="s">
        <v>27</v>
      </c>
      <c r="Y219" t="s">
        <v>0</v>
      </c>
      <c r="Z219" s="3"/>
      <c r="AA219" s="4">
        <v>0</v>
      </c>
      <c r="AB219" s="3"/>
      <c r="AC219" s="3">
        <v>46293</v>
      </c>
      <c r="AD219" t="s">
        <v>0</v>
      </c>
    </row>
    <row r="220" spans="1:30" hidden="1" x14ac:dyDescent="0.2">
      <c r="A220" t="s">
        <v>976</v>
      </c>
      <c r="B220" t="s">
        <v>975</v>
      </c>
      <c r="C220" t="s">
        <v>4</v>
      </c>
      <c r="D220" t="s">
        <v>0</v>
      </c>
      <c r="E220" t="s">
        <v>1045</v>
      </c>
      <c r="F220" t="s">
        <v>0</v>
      </c>
      <c r="G220" t="s">
        <v>1000</v>
      </c>
      <c r="H220" t="s">
        <v>1001</v>
      </c>
      <c r="I220" s="2">
        <v>5000</v>
      </c>
      <c r="J220" s="2">
        <v>0</v>
      </c>
      <c r="K220" s="2">
        <f t="shared" si="6"/>
        <v>5000</v>
      </c>
      <c r="L220" s="2">
        <f t="shared" ca="1" si="7"/>
        <v>1</v>
      </c>
      <c r="M220" s="2" t="s">
        <v>1081</v>
      </c>
      <c r="N220" t="s">
        <v>160</v>
      </c>
      <c r="O220" s="3">
        <v>46293</v>
      </c>
      <c r="P220" s="3">
        <v>46293</v>
      </c>
      <c r="Q220" s="3">
        <v>46293</v>
      </c>
      <c r="R220" s="3">
        <v>46293</v>
      </c>
      <c r="S220" t="s">
        <v>1046</v>
      </c>
      <c r="T220" t="s">
        <v>1047</v>
      </c>
      <c r="U220" s="3"/>
      <c r="V220" s="4">
        <v>0</v>
      </c>
      <c r="W220" s="3">
        <v>46293</v>
      </c>
      <c r="X220" t="s">
        <v>27</v>
      </c>
      <c r="Y220" t="s">
        <v>0</v>
      </c>
      <c r="Z220" s="3"/>
      <c r="AA220" s="4">
        <v>0</v>
      </c>
      <c r="AB220" s="3"/>
      <c r="AC220" s="3">
        <v>46293</v>
      </c>
      <c r="AD220" t="s">
        <v>0</v>
      </c>
    </row>
    <row r="221" spans="1:30" x14ac:dyDescent="0.2">
      <c r="A221" t="s">
        <v>976</v>
      </c>
      <c r="B221" t="s">
        <v>978</v>
      </c>
      <c r="C221" t="s">
        <v>979</v>
      </c>
      <c r="D221" t="s">
        <v>0</v>
      </c>
      <c r="E221" t="s">
        <v>1048</v>
      </c>
      <c r="F221" t="s">
        <v>0</v>
      </c>
      <c r="G221" t="s">
        <v>996</v>
      </c>
      <c r="H221" t="s">
        <v>997</v>
      </c>
      <c r="I221" s="2">
        <v>1260</v>
      </c>
      <c r="J221" s="2">
        <v>0</v>
      </c>
      <c r="K221" s="2">
        <f t="shared" si="6"/>
        <v>1260</v>
      </c>
      <c r="L221" s="2">
        <f t="shared" ca="1" si="7"/>
        <v>1</v>
      </c>
      <c r="M221" s="2" t="s">
        <v>1081</v>
      </c>
      <c r="N221" t="s">
        <v>160</v>
      </c>
      <c r="O221" s="3">
        <v>46293</v>
      </c>
      <c r="P221" s="3">
        <v>46293</v>
      </c>
      <c r="Q221" s="3">
        <v>46293</v>
      </c>
      <c r="R221" s="3">
        <v>46293</v>
      </c>
      <c r="S221" t="s">
        <v>1049</v>
      </c>
      <c r="T221" t="s">
        <v>1050</v>
      </c>
      <c r="U221" s="3"/>
      <c r="V221" s="4">
        <v>0</v>
      </c>
      <c r="W221" s="3">
        <v>46293</v>
      </c>
      <c r="X221" t="s">
        <v>27</v>
      </c>
      <c r="Y221" t="s">
        <v>0</v>
      </c>
      <c r="Z221" s="3"/>
      <c r="AA221" s="4">
        <v>0</v>
      </c>
      <c r="AB221" s="3"/>
      <c r="AC221" s="3">
        <v>46293</v>
      </c>
      <c r="AD221" t="s">
        <v>0</v>
      </c>
    </row>
  </sheetData>
  <autoFilter ref="A1:AD221">
    <filterColumn colId="0">
      <filters>
        <filter val="3016"/>
      </filters>
    </filterColumn>
    <filterColumn colId="2">
      <filters>
        <filter val="3AFG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showGridLines="0" tabSelected="1" zoomScale="115" zoomScaleNormal="115" workbookViewId="0">
      <selection activeCell="B1" sqref="B1"/>
    </sheetView>
  </sheetViews>
  <sheetFormatPr defaultRowHeight="12.75" x14ac:dyDescent="0.2"/>
  <cols>
    <col min="1" max="1" width="9.140625" style="6"/>
    <col min="2" max="2" width="12.5703125" style="6" bestFit="1" customWidth="1"/>
    <col min="3" max="3" width="9.140625" style="6"/>
    <col min="4" max="4" width="7.42578125" style="6" customWidth="1"/>
    <col min="5" max="5" width="7.5703125" style="6" customWidth="1"/>
    <col min="6" max="6" width="7.28515625" style="6" customWidth="1"/>
    <col min="7" max="7" width="9.140625" style="6"/>
    <col min="8" max="8" width="32.42578125" style="6" customWidth="1"/>
    <col min="9" max="9" width="9.85546875" style="6" customWidth="1"/>
    <col min="10" max="16384" width="9.140625" style="6"/>
  </cols>
  <sheetData>
    <row r="1" spans="2:11" s="6" customFormat="1" ht="13.5" thickBot="1" x14ac:dyDescent="0.25"/>
    <row r="2" spans="2:11" s="6" customFormat="1" ht="16.5" thickBot="1" x14ac:dyDescent="0.25">
      <c r="B2" s="30" t="s">
        <v>1102</v>
      </c>
      <c r="C2" s="29"/>
      <c r="D2" s="29"/>
      <c r="E2" s="29"/>
      <c r="F2" s="29"/>
      <c r="G2" s="29"/>
      <c r="H2" s="29"/>
      <c r="I2" s="29"/>
      <c r="J2" s="28"/>
      <c r="K2" s="6" t="s">
        <v>1101</v>
      </c>
    </row>
    <row r="3" spans="2:11" s="6" customFormat="1" ht="27" customHeight="1" thickBot="1" x14ac:dyDescent="0.25">
      <c r="B3" s="27" t="s">
        <v>1100</v>
      </c>
      <c r="C3" s="26"/>
      <c r="D3" s="25" t="s">
        <v>1081</v>
      </c>
      <c r="E3" s="25" t="s">
        <v>1082</v>
      </c>
      <c r="F3" s="25" t="s">
        <v>1083</v>
      </c>
      <c r="G3" s="25" t="s">
        <v>1099</v>
      </c>
      <c r="H3" s="25" t="s">
        <v>1098</v>
      </c>
      <c r="I3" s="25" t="s">
        <v>1097</v>
      </c>
      <c r="J3" s="24" t="s">
        <v>1096</v>
      </c>
    </row>
    <row r="4" spans="2:11" s="6" customFormat="1" ht="12.75" customHeight="1" x14ac:dyDescent="0.2">
      <c r="B4" s="16" t="s">
        <v>1095</v>
      </c>
      <c r="C4" s="15" t="s">
        <v>1085</v>
      </c>
      <c r="D4" s="15">
        <v>28</v>
      </c>
      <c r="E4" s="15">
        <v>40</v>
      </c>
      <c r="F4" s="15">
        <v>73</v>
      </c>
      <c r="G4" s="15">
        <f>SUM(F4:F4)</f>
        <v>73</v>
      </c>
      <c r="H4" s="14" t="s">
        <v>1092</v>
      </c>
      <c r="I4" s="13" t="s">
        <v>1091</v>
      </c>
      <c r="J4" s="19">
        <v>46295</v>
      </c>
    </row>
    <row r="5" spans="2:11" s="6" customFormat="1" ht="13.5" thickBot="1" x14ac:dyDescent="0.25">
      <c r="B5" s="11"/>
      <c r="C5" s="10" t="s">
        <v>1084</v>
      </c>
      <c r="D5" s="10">
        <v>7807</v>
      </c>
      <c r="E5" s="10">
        <v>4411</v>
      </c>
      <c r="F5" s="10">
        <v>2301</v>
      </c>
      <c r="G5" s="10">
        <f>SUM(F5:F5)</f>
        <v>2301</v>
      </c>
      <c r="H5" s="9"/>
      <c r="I5" s="8"/>
      <c r="J5" s="7"/>
    </row>
    <row r="6" spans="2:11" s="6" customFormat="1" x14ac:dyDescent="0.2">
      <c r="B6" s="23" t="s">
        <v>1094</v>
      </c>
      <c r="C6" s="22" t="s">
        <v>1085</v>
      </c>
      <c r="D6" s="15">
        <v>5</v>
      </c>
      <c r="E6" s="15">
        <v>3</v>
      </c>
      <c r="F6" s="15">
        <v>3</v>
      </c>
      <c r="G6" s="22">
        <f>SUM(F6:F6)</f>
        <v>3</v>
      </c>
      <c r="H6" s="14" t="s">
        <v>1092</v>
      </c>
      <c r="I6" s="13" t="s">
        <v>1091</v>
      </c>
      <c r="J6" s="19">
        <v>46295</v>
      </c>
    </row>
    <row r="7" spans="2:11" s="6" customFormat="1" ht="13.5" thickBot="1" x14ac:dyDescent="0.25">
      <c r="B7" s="11"/>
      <c r="C7" s="10" t="s">
        <v>1084</v>
      </c>
      <c r="D7" s="10">
        <v>11560</v>
      </c>
      <c r="E7" s="10">
        <v>110</v>
      </c>
      <c r="F7" s="10">
        <v>6</v>
      </c>
      <c r="G7" s="10">
        <f>SUM(F7:F7)</f>
        <v>6</v>
      </c>
      <c r="H7" s="9"/>
      <c r="I7" s="8"/>
      <c r="J7" s="7"/>
    </row>
    <row r="8" spans="2:11" s="6" customFormat="1" x14ac:dyDescent="0.2">
      <c r="B8" s="16" t="s">
        <v>1093</v>
      </c>
      <c r="C8" s="15" t="s">
        <v>1085</v>
      </c>
      <c r="D8" s="15">
        <v>17</v>
      </c>
      <c r="E8" s="15">
        <v>39</v>
      </c>
      <c r="F8" s="15">
        <v>8</v>
      </c>
      <c r="G8" s="15">
        <f>SUM(F8:F8)</f>
        <v>8</v>
      </c>
      <c r="H8" s="14" t="s">
        <v>1092</v>
      </c>
      <c r="I8" s="13" t="s">
        <v>1091</v>
      </c>
      <c r="J8" s="19">
        <v>46295</v>
      </c>
    </row>
    <row r="9" spans="2:11" s="6" customFormat="1" ht="13.5" thickBot="1" x14ac:dyDescent="0.25">
      <c r="B9" s="11"/>
      <c r="C9" s="10" t="s">
        <v>1084</v>
      </c>
      <c r="D9" s="10">
        <v>3258</v>
      </c>
      <c r="E9" s="10">
        <v>3851</v>
      </c>
      <c r="F9" s="10">
        <v>500</v>
      </c>
      <c r="G9" s="10">
        <f>SUM(F9:F9)</f>
        <v>500</v>
      </c>
      <c r="H9" s="9"/>
      <c r="I9" s="8"/>
      <c r="J9" s="7"/>
    </row>
    <row r="10" spans="2:11" s="6" customFormat="1" x14ac:dyDescent="0.2">
      <c r="B10" s="16" t="s">
        <v>1090</v>
      </c>
      <c r="C10" s="15" t="s">
        <v>1085</v>
      </c>
      <c r="D10" s="15">
        <v>4</v>
      </c>
      <c r="E10" s="15"/>
      <c r="F10" s="20"/>
      <c r="G10" s="15">
        <f>SUM(F10:F10)</f>
        <v>0</v>
      </c>
      <c r="H10" s="14" t="s">
        <v>1087</v>
      </c>
      <c r="I10" s="13" t="s">
        <v>1087</v>
      </c>
      <c r="J10" s="19"/>
    </row>
    <row r="11" spans="2:11" s="6" customFormat="1" ht="13.5" thickBot="1" x14ac:dyDescent="0.25">
      <c r="B11" s="11"/>
      <c r="C11" s="10" t="s">
        <v>1084</v>
      </c>
      <c r="D11" s="10">
        <v>2936</v>
      </c>
      <c r="E11" s="10"/>
      <c r="F11" s="17"/>
      <c r="G11" s="10">
        <f>SUM(F11:F11)</f>
        <v>0</v>
      </c>
      <c r="H11" s="9"/>
      <c r="I11" s="8"/>
      <c r="J11" s="7"/>
    </row>
    <row r="12" spans="2:11" s="6" customFormat="1" x14ac:dyDescent="0.2">
      <c r="B12" s="16" t="s">
        <v>1089</v>
      </c>
      <c r="C12" s="15" t="s">
        <v>1085</v>
      </c>
      <c r="D12" s="15"/>
      <c r="E12" s="15"/>
      <c r="F12" s="20"/>
      <c r="G12" s="15">
        <f>SUM(F12:F12)</f>
        <v>0</v>
      </c>
      <c r="H12" s="14" t="s">
        <v>1087</v>
      </c>
      <c r="I12" s="13" t="s">
        <v>1087</v>
      </c>
      <c r="J12" s="19"/>
    </row>
    <row r="13" spans="2:11" s="6" customFormat="1" ht="13.5" thickBot="1" x14ac:dyDescent="0.25">
      <c r="B13" s="11"/>
      <c r="C13" s="10" t="s">
        <v>1084</v>
      </c>
      <c r="D13" s="10"/>
      <c r="E13" s="10"/>
      <c r="F13" s="17"/>
      <c r="G13" s="10">
        <f>SUM(F13:F13)</f>
        <v>0</v>
      </c>
      <c r="H13" s="9"/>
      <c r="I13" s="8"/>
      <c r="J13" s="7"/>
    </row>
    <row r="14" spans="2:11" s="6" customFormat="1" ht="12.75" customHeight="1" x14ac:dyDescent="0.2">
      <c r="B14" s="21" t="s">
        <v>1088</v>
      </c>
      <c r="C14" s="15" t="s">
        <v>1085</v>
      </c>
      <c r="D14" s="15"/>
      <c r="E14" s="15"/>
      <c r="F14" s="20"/>
      <c r="G14" s="15">
        <f>SUM(F14:F14)</f>
        <v>0</v>
      </c>
      <c r="H14" s="14" t="s">
        <v>1087</v>
      </c>
      <c r="I14" s="13" t="s">
        <v>1087</v>
      </c>
      <c r="J14" s="19"/>
    </row>
    <row r="15" spans="2:11" s="6" customFormat="1" ht="13.5" thickBot="1" x14ac:dyDescent="0.25">
      <c r="B15" s="18"/>
      <c r="C15" s="10" t="s">
        <v>1084</v>
      </c>
      <c r="D15" s="10"/>
      <c r="E15" s="10"/>
      <c r="F15" s="17"/>
      <c r="G15" s="10">
        <f>SUM(F15:F15)</f>
        <v>0</v>
      </c>
      <c r="H15" s="9"/>
      <c r="I15" s="8"/>
      <c r="J15" s="7"/>
    </row>
    <row r="16" spans="2:11" s="6" customFormat="1" x14ac:dyDescent="0.2">
      <c r="B16" s="16" t="s">
        <v>1086</v>
      </c>
      <c r="C16" s="15" t="s">
        <v>1085</v>
      </c>
      <c r="D16" s="15">
        <f>D4+D6+D8+D10+D12+D14</f>
        <v>54</v>
      </c>
      <c r="E16" s="15">
        <f>E4+E6+E8+E10+E12+E14</f>
        <v>82</v>
      </c>
      <c r="F16" s="15">
        <f>F4+F6+F8+F10+F12+F14</f>
        <v>84</v>
      </c>
      <c r="G16" s="15">
        <f>G4+G6+G8+G10+G12+G14</f>
        <v>84</v>
      </c>
      <c r="H16" s="14"/>
      <c r="I16" s="13"/>
      <c r="J16" s="12"/>
    </row>
    <row r="17" spans="2:10" s="6" customFormat="1" ht="13.5" thickBot="1" x14ac:dyDescent="0.25">
      <c r="B17" s="11"/>
      <c r="C17" s="10" t="s">
        <v>1084</v>
      </c>
      <c r="D17" s="10">
        <f>D5+D7+D9+D11+D13+D15</f>
        <v>25561</v>
      </c>
      <c r="E17" s="10">
        <f>E5+E7+E9+E11+E13+E15</f>
        <v>8372</v>
      </c>
      <c r="F17" s="10">
        <f>F5+F7+F9+F11+F13+F15</f>
        <v>2807</v>
      </c>
      <c r="G17" s="10">
        <f>G5+G7+G9+G11+G13+G15</f>
        <v>2807</v>
      </c>
      <c r="H17" s="9"/>
      <c r="I17" s="8"/>
      <c r="J17" s="7"/>
    </row>
  </sheetData>
  <mergeCells count="30">
    <mergeCell ref="B2:J2"/>
    <mergeCell ref="B3:C3"/>
    <mergeCell ref="B4:B5"/>
    <mergeCell ref="H4:H5"/>
    <mergeCell ref="I4:I5"/>
    <mergeCell ref="J4:J5"/>
    <mergeCell ref="B6:B7"/>
    <mergeCell ref="H6:H7"/>
    <mergeCell ref="I6:I7"/>
    <mergeCell ref="J6:J7"/>
    <mergeCell ref="B8:B9"/>
    <mergeCell ref="H8:H9"/>
    <mergeCell ref="I8:I9"/>
    <mergeCell ref="J8:J9"/>
    <mergeCell ref="B10:B11"/>
    <mergeCell ref="H10:H11"/>
    <mergeCell ref="I10:I11"/>
    <mergeCell ref="J10:J11"/>
    <mergeCell ref="B12:B13"/>
    <mergeCell ref="H12:H13"/>
    <mergeCell ref="I12:I13"/>
    <mergeCell ref="J12:J13"/>
    <mergeCell ref="B14:B15"/>
    <mergeCell ref="H14:H15"/>
    <mergeCell ref="I14:I15"/>
    <mergeCell ref="J14:J15"/>
    <mergeCell ref="B16:B17"/>
    <mergeCell ref="H16:H17"/>
    <mergeCell ref="I16:I17"/>
    <mergeCell ref="J16:J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Murali Krishanan S</cp:lastModifiedBy>
  <cp:revision>1</cp:revision>
  <dcterms:modified xsi:type="dcterms:W3CDTF">2026-09-29T02:32:42Z</dcterms:modified>
  <cp:category/>
</cp:coreProperties>
</file>